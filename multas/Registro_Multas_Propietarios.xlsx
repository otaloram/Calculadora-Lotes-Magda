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arga Vigilador" sheetId="2" state="visible" r:id="rId4"/>
    <sheet name="Carga Administración" sheetId="3" state="visible" r:id="rId5"/>
    <sheet name="Estadísticas" sheetId="4" state="visible" r:id="rId6"/>
  </sheets>
  <definedNames>
    <definedName function="false" hidden="true" localSheetId="2" name="_xlnm._FilterDatabase" vbProcedure="false">'Carga Administración'!$A$3:$N$503</definedName>
    <definedName function="false" hidden="true" localSheetId="1" name="_xlnm._FilterDatabase" vbProcedure="false">'Carga Vigilador'!$A$3:$G$503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<sst xmlns="http://schemas.openxmlformats.org/spreadsheetml/2006/main" count="59" uniqueCount="51">
  <si>
    <t xml:space="preserve">CÓMO SE USA</t>
  </si>
  <si>
    <t xml:space="preserve">1. VIGILADOR → hoja 'Carga Vigilador': una fila por acta con fecha, hora, su nombre, lote, nombre del infractor y la situación observada.</t>
  </si>
  <si>
    <t xml:space="preserve">2. ADMINISTRACIÓN → hoja 'Carga Administración': cada acta ya aparece sola en la misma fila. Completar solo lo amarillo:</t>
  </si>
  <si>
    <t xml:space="preserve">     descargo enviado (Sí/No) y su fecha · multa aplicada (Sí/No) y su fecha · valor de la multa · observaciones.</t>
  </si>
  <si>
    <t xml:space="preserve">3. La columna 'Estado' se calcula sola: Pendiente → Descargo enviado → Multa aplicada / Sin multa.</t>
  </si>
  <si>
    <t xml:space="preserve">4. ESTADÍSTICAS → elegir DESDE / HASTA (y un lote si se quiere) y ver cuántas actas, descargos y multas hubo y el monto.</t>
  </si>
  <si>
    <t xml:space="preserve">5. Para buscar: usar las flechitas de filtro en los títulos de cada hoja (por lote, nombre, fecha, estado...).</t>
  </si>
  <si>
    <t xml:space="preserve">6. IMPORTANTE: no borrar ni ordenar filas en 'Carga Vigilador'; si un acta se anula, escribirlo en Observaciones.</t>
  </si>
  <si>
    <t xml:space="preserve">7. La fila 4 tiene de ejemplo el acta del 13/10/2026 (lote 92). Reemplazar el nombre del vigilador.</t>
  </si>
  <si>
    <t xml:space="preserve">EN GOOGLE DRIVE</t>
  </si>
  <si>
    <t xml:space="preserve">Subir el archivo → Abrir con Hojas de cálculo de Google → Archivo → Guardar como Hojas de cálculo de Google.</t>
  </si>
  <si>
    <t xml:space="preserve">Recomendado: Datos → Proteger hojas y rangos, para que la guardia solo edite 'Carga Vigilador' y la administración 'Carga Administración'.</t>
  </si>
  <si>
    <t xml:space="preserve">CARGA DEL VIGILADOR</t>
  </si>
  <si>
    <t xml:space="preserve">Una fila por acta. Completar todas las columnas. No borrar ni ordenar filas (la administración trabaja sobre la misma fila).</t>
  </si>
  <si>
    <t xml:space="preserve">N° Acta</t>
  </si>
  <si>
    <t xml:space="preserve">Fecha</t>
  </si>
  <si>
    <t xml:space="preserve">Hora</t>
  </si>
  <si>
    <t xml:space="preserve">Vigilador</t>
  </si>
  <si>
    <t xml:space="preserve">Lote N°</t>
  </si>
  <si>
    <t xml:space="preserve">Nombre del infractor</t>
  </si>
  <si>
    <t xml:space="preserve">Situación observada</t>
  </si>
  <si>
    <t xml:space="preserve">(nombre del vigilador)</t>
  </si>
  <si>
    <t xml:space="preserve">TAGLIANI MATIAS EZEQUIEL (hijo de propietario)</t>
  </si>
  <si>
    <t xml:space="preserve">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t>
  </si>
  <si>
    <t xml:space="preserve">CARGA DE LA ADMINISTRACIÓN</t>
  </si>
  <si>
    <t xml:space="preserve">Columnas grises: vienen solas de la carga del vigilador (no escribir). Completar solo las columnas amarillas.</t>
  </si>
  <si>
    <t xml:space="preserve">Descargo enviado</t>
  </si>
  <si>
    <t xml:space="preserve">Fecha descargo</t>
  </si>
  <si>
    <t xml:space="preserve">Multa aplicada</t>
  </si>
  <si>
    <t xml:space="preserve">Fecha multa</t>
  </si>
  <si>
    <t xml:space="preserve">Valor multa ($)</t>
  </si>
  <si>
    <t xml:space="preserve">Observaciones</t>
  </si>
  <si>
    <t xml:space="preserve">Estado</t>
  </si>
  <si>
    <t xml:space="preserve">ESTADÍSTICAS</t>
  </si>
  <si>
    <t xml:space="preserve">Elegí el período (y si querés, un lote). Para un solo día poné la misma fecha en DESDE y HASTA.</t>
  </si>
  <si>
    <t xml:space="preserve">DESDE</t>
  </si>
  <si>
    <t xml:space="preserve">HASTA</t>
  </si>
  <si>
    <t xml:space="preserve">Lote N° (opcional)</t>
  </si>
  <si>
    <t xml:space="preserve">← dejar vacío para todos los lotes</t>
  </si>
  <si>
    <t xml:space="preserve">Resultado del período</t>
  </si>
  <si>
    <t xml:space="preserve">Cantidad</t>
  </si>
  <si>
    <t xml:space="preserve">Se cuenta por</t>
  </si>
  <si>
    <t xml:space="preserve">Actas labradas</t>
  </si>
  <si>
    <t xml:space="preserve">Fecha del hecho</t>
  </si>
  <si>
    <t xml:space="preserve">Descargos enviados</t>
  </si>
  <si>
    <t xml:space="preserve">Fecha de envío del descargo</t>
  </si>
  <si>
    <t xml:space="preserve">Multas aplicadas</t>
  </si>
  <si>
    <t xml:space="preserve">Fecha de aplicación de la multa</t>
  </si>
  <si>
    <t xml:space="preserve">Monto total de multas ($)</t>
  </si>
  <si>
    <t xml:space="preserve">Actas pendientes (sin resolver)</t>
  </si>
  <si>
    <t xml:space="preserve">Actas del período aún sin descargo ni multa</t>
  </si>
</sst>
</file>

<file path=xl/styles.xml><?xml version="1.0" encoding="utf-8"?>
<styleSheet xmlns="http://schemas.openxmlformats.org/spreadsheetml/2006/main">
  <numFmts count="6">
    <numFmt numFmtId="164" formatCode="General"/>
    <numFmt numFmtId="165" formatCode="General"/>
    <numFmt numFmtId="166" formatCode="dd/mm/yyyy"/>
    <numFmt numFmtId="167" formatCode="hh:mm"/>
    <numFmt numFmtId="168" formatCode="&quot;$ &quot;#,##0"/>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sz val="11"/>
      <color rgb="FF000000"/>
      <name val="Arial"/>
      <family val="0"/>
      <charset val="1"/>
    </font>
    <font>
      <b val="true"/>
      <sz val="14"/>
      <color rgb="FF1F3864"/>
      <name val="Arial"/>
      <family val="0"/>
      <charset val="1"/>
    </font>
    <font>
      <i val="true"/>
      <sz val="11"/>
      <color rgb="FF595959"/>
      <name val="Arial"/>
      <family val="0"/>
      <charset val="1"/>
    </font>
    <font>
      <b val="true"/>
      <sz val="11"/>
      <color rgb="FFFFFFFF"/>
      <name val="Arial"/>
      <family val="0"/>
      <charset val="1"/>
    </font>
    <font>
      <sz val="10"/>
      <name val="Arial"/>
      <family val="0"/>
      <charset val="1"/>
    </font>
    <font>
      <b val="true"/>
      <sz val="11"/>
      <name val="Arial"/>
      <family val="0"/>
      <charset val="1"/>
    </font>
    <font>
      <b val="true"/>
      <sz val="12"/>
      <color rgb="FF0000FF"/>
      <name val="Arial"/>
      <family val="0"/>
      <charset val="1"/>
    </font>
    <font>
      <sz val="11"/>
      <name val="Arial"/>
      <family val="0"/>
      <charset val="1"/>
    </font>
    <font>
      <b val="true"/>
      <sz val="13"/>
      <name val="Arial"/>
      <family val="0"/>
      <charset val="1"/>
    </font>
    <font>
      <sz val="9"/>
      <color rgb="FF59595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EDEDED"/>
        <bgColor rgb="FFDDEBF7"/>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top" textRotation="0" wrapText="true" indent="0" shrinkToFit="false"/>
      <protection locked="true" hidden="false"/>
    </xf>
    <xf numFmtId="166" fontId="9" fillId="4" borderId="1" xfId="0" applyFont="true" applyBorder="true" applyAlignment="true" applyProtection="false">
      <alignment horizontal="center" vertical="top" textRotation="0" wrapText="true" indent="0" shrinkToFit="false"/>
      <protection locked="true" hidden="false"/>
    </xf>
    <xf numFmtId="167" fontId="9"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true" indent="0" shrinkToFit="false"/>
      <protection locked="true" hidden="false"/>
    </xf>
    <xf numFmtId="166" fontId="9" fillId="3" borderId="1" xfId="0" applyFont="true" applyBorder="true" applyAlignment="true" applyProtection="false">
      <alignment horizontal="center" vertical="top" textRotation="0" wrapText="true" indent="0" shrinkToFit="false"/>
      <protection locked="true" hidden="false"/>
    </xf>
    <xf numFmtId="167" fontId="9"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6" fontId="9" fillId="5" borderId="1" xfId="0" applyFont="true" applyBorder="true" applyAlignment="true" applyProtection="false">
      <alignment horizontal="center" vertical="top" textRotation="0" wrapText="true" indent="0" shrinkToFit="false"/>
      <protection locked="true" hidden="false"/>
    </xf>
    <xf numFmtId="168"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F8CBAD"/>
          <bgColor rgb="FF000000"/>
        </patternFill>
      </fill>
    </dxf>
    <dxf>
      <fill>
        <patternFill>
          <bgColor rgb="FFF8CBAD"/>
        </patternFill>
      </fill>
    </dxf>
    <dxf>
      <fill>
        <patternFill>
          <bgColor rgb="FFFFE699"/>
        </patternFill>
      </fill>
    </dxf>
    <dxf>
      <fill>
        <patternFill>
          <bgColor rgb="FFC6EF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5"/>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6.15" hidden="false" customHeight="false" outlineLevel="0" collapsed="false">
      <c r="A12" s="1" t="s">
        <v>9</v>
      </c>
    </row>
    <row r="13" customFormat="false" ht="15" hidden="false" customHeight="false" outlineLevel="0" collapsed="false">
      <c r="A13" s="2" t="s">
        <v>10</v>
      </c>
    </row>
    <row r="14" customFormat="false" ht="15" hidden="false" customHeight="false" outlineLevel="0" collapsed="false">
      <c r="A14" s="2"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22"/>
    <col collapsed="false" customWidth="true" hidden="false" outlineLevel="0" max="5" min="5" style="0" width="8"/>
    <col collapsed="false" customWidth="true" hidden="false" outlineLevel="0" max="6" min="6" style="0" width="28"/>
    <col collapsed="false" customWidth="true" hidden="false" outlineLevel="0" max="7" min="7" style="0" width="80"/>
  </cols>
  <sheetData>
    <row r="1" customFormat="false" ht="17.35" hidden="false" customHeight="false" outlineLevel="0" collapsed="false">
      <c r="A1" s="3" t="s">
        <v>12</v>
      </c>
    </row>
    <row r="2" customFormat="false" ht="15" hidden="false" customHeight="false" outlineLevel="0" collapsed="false">
      <c r="A2" s="4" t="s">
        <v>13</v>
      </c>
    </row>
    <row r="3" customFormat="false" ht="31.5" hidden="false" customHeight="true" outlineLevel="0" collapsed="false">
      <c r="A3" s="5" t="s">
        <v>14</v>
      </c>
      <c r="B3" s="5" t="s">
        <v>15</v>
      </c>
      <c r="C3" s="5" t="s">
        <v>16</v>
      </c>
      <c r="D3" s="5" t="s">
        <v>17</v>
      </c>
      <c r="E3" s="5" t="s">
        <v>18</v>
      </c>
      <c r="F3" s="5" t="s">
        <v>19</v>
      </c>
      <c r="G3" s="5" t="s">
        <v>20</v>
      </c>
    </row>
    <row r="4" customFormat="false" ht="90" hidden="false" customHeight="true" outlineLevel="0" collapsed="false">
      <c r="A4" s="6" t="n">
        <f aca="false">IF(B4="","",ROW()-3)</f>
        <v>1</v>
      </c>
      <c r="B4" s="7" t="n">
        <v>46308</v>
      </c>
      <c r="C4" s="8" t="n">
        <v>0.534027777777778</v>
      </c>
      <c r="D4" s="9" t="s">
        <v>21</v>
      </c>
      <c r="E4" s="10" t="n">
        <v>92</v>
      </c>
      <c r="F4" s="9" t="s">
        <v>22</v>
      </c>
      <c r="G4" s="9" t="s">
        <v>23</v>
      </c>
    </row>
    <row r="5" customFormat="false" ht="15" hidden="false" customHeight="false" outlineLevel="0" collapsed="false">
      <c r="A5" s="6" t="str">
        <f aca="false">IF(B5="","",ROW()-3)</f>
        <v/>
      </c>
      <c r="B5" s="7"/>
      <c r="C5" s="8"/>
      <c r="D5" s="9"/>
      <c r="E5" s="10"/>
      <c r="F5" s="9"/>
      <c r="G5" s="9"/>
    </row>
    <row r="6" customFormat="false" ht="15" hidden="false" customHeight="false" outlineLevel="0" collapsed="false">
      <c r="A6" s="6" t="str">
        <f aca="false">IF(B6="","",ROW()-3)</f>
        <v/>
      </c>
      <c r="B6" s="7"/>
      <c r="C6" s="8"/>
      <c r="D6" s="9"/>
      <c r="E6" s="10"/>
      <c r="F6" s="9"/>
      <c r="G6" s="9"/>
    </row>
    <row r="7" customFormat="false" ht="15" hidden="false" customHeight="false" outlineLevel="0" collapsed="false">
      <c r="A7" s="6" t="str">
        <f aca="false">IF(B7="","",ROW()-3)</f>
        <v/>
      </c>
      <c r="B7" s="7"/>
      <c r="C7" s="8"/>
      <c r="D7" s="9"/>
      <c r="E7" s="10"/>
      <c r="F7" s="9"/>
      <c r="G7" s="9"/>
    </row>
    <row r="8" customFormat="false" ht="15" hidden="false" customHeight="false" outlineLevel="0" collapsed="false">
      <c r="A8" s="6" t="str">
        <f aca="false">IF(B8="","",ROW()-3)</f>
        <v/>
      </c>
      <c r="B8" s="7"/>
      <c r="C8" s="8"/>
      <c r="D8" s="9"/>
      <c r="E8" s="10"/>
      <c r="F8" s="9"/>
      <c r="G8" s="9"/>
    </row>
    <row r="9" customFormat="false" ht="15" hidden="false" customHeight="false" outlineLevel="0" collapsed="false">
      <c r="A9" s="6" t="str">
        <f aca="false">IF(B9="","",ROW()-3)</f>
        <v/>
      </c>
      <c r="B9" s="7"/>
      <c r="C9" s="8"/>
      <c r="D9" s="9"/>
      <c r="E9" s="10"/>
      <c r="F9" s="9"/>
      <c r="G9" s="9"/>
    </row>
    <row r="10" customFormat="false" ht="15" hidden="false" customHeight="false" outlineLevel="0" collapsed="false">
      <c r="A10" s="6" t="str">
        <f aca="false">IF(B10="","",ROW()-3)</f>
        <v/>
      </c>
      <c r="B10" s="7"/>
      <c r="C10" s="8"/>
      <c r="D10" s="9"/>
      <c r="E10" s="10"/>
      <c r="F10" s="9"/>
      <c r="G10" s="9"/>
    </row>
    <row r="11" customFormat="false" ht="15" hidden="false" customHeight="false" outlineLevel="0" collapsed="false">
      <c r="A11" s="6" t="str">
        <f aca="false">IF(B11="","",ROW()-3)</f>
        <v/>
      </c>
      <c r="B11" s="7"/>
      <c r="C11" s="8"/>
      <c r="D11" s="9"/>
      <c r="E11" s="10"/>
      <c r="F11" s="9"/>
      <c r="G11" s="9"/>
    </row>
    <row r="12" customFormat="false" ht="15" hidden="false" customHeight="false" outlineLevel="0" collapsed="false">
      <c r="A12" s="6" t="str">
        <f aca="false">IF(B12="","",ROW()-3)</f>
        <v/>
      </c>
      <c r="B12" s="7"/>
      <c r="C12" s="8"/>
      <c r="D12" s="9"/>
      <c r="E12" s="10"/>
      <c r="F12" s="9"/>
      <c r="G12" s="9"/>
    </row>
    <row r="13" customFormat="false" ht="15" hidden="false" customHeight="false" outlineLevel="0" collapsed="false">
      <c r="A13" s="6" t="str">
        <f aca="false">IF(B13="","",ROW()-3)</f>
        <v/>
      </c>
      <c r="B13" s="7"/>
      <c r="C13" s="8"/>
      <c r="D13" s="9"/>
      <c r="E13" s="10"/>
      <c r="F13" s="9"/>
      <c r="G13" s="9"/>
    </row>
    <row r="14" customFormat="false" ht="15" hidden="false" customHeight="false" outlineLevel="0" collapsed="false">
      <c r="A14" s="6" t="str">
        <f aca="false">IF(B14="","",ROW()-3)</f>
        <v/>
      </c>
      <c r="B14" s="7"/>
      <c r="C14" s="8"/>
      <c r="D14" s="9"/>
      <c r="E14" s="10"/>
      <c r="F14" s="9"/>
      <c r="G14" s="9"/>
    </row>
    <row r="15" customFormat="false" ht="15" hidden="false" customHeight="false" outlineLevel="0" collapsed="false">
      <c r="A15" s="6" t="str">
        <f aca="false">IF(B15="","",ROW()-3)</f>
        <v/>
      </c>
      <c r="B15" s="7"/>
      <c r="C15" s="8"/>
      <c r="D15" s="9"/>
      <c r="E15" s="10"/>
      <c r="F15" s="9"/>
      <c r="G15" s="9"/>
    </row>
    <row r="16" customFormat="false" ht="15" hidden="false" customHeight="false" outlineLevel="0" collapsed="false">
      <c r="A16" s="6" t="str">
        <f aca="false">IF(B16="","",ROW()-3)</f>
        <v/>
      </c>
      <c r="B16" s="7"/>
      <c r="C16" s="8"/>
      <c r="D16" s="9"/>
      <c r="E16" s="10"/>
      <c r="F16" s="9"/>
      <c r="G16" s="9"/>
    </row>
    <row r="17" customFormat="false" ht="15" hidden="false" customHeight="false" outlineLevel="0" collapsed="false">
      <c r="A17" s="6" t="str">
        <f aca="false">IF(B17="","",ROW()-3)</f>
        <v/>
      </c>
      <c r="B17" s="7"/>
      <c r="C17" s="8"/>
      <c r="D17" s="9"/>
      <c r="E17" s="10"/>
      <c r="F17" s="9"/>
      <c r="G17" s="9"/>
    </row>
    <row r="18" customFormat="false" ht="15" hidden="false" customHeight="false" outlineLevel="0" collapsed="false">
      <c r="A18" s="6" t="str">
        <f aca="false">IF(B18="","",ROW()-3)</f>
        <v/>
      </c>
      <c r="B18" s="7"/>
      <c r="C18" s="8"/>
      <c r="D18" s="9"/>
      <c r="E18" s="10"/>
      <c r="F18" s="9"/>
      <c r="G18" s="9"/>
    </row>
    <row r="19" customFormat="false" ht="15" hidden="false" customHeight="false" outlineLevel="0" collapsed="false">
      <c r="A19" s="6" t="str">
        <f aca="false">IF(B19="","",ROW()-3)</f>
        <v/>
      </c>
      <c r="B19" s="7"/>
      <c r="C19" s="8"/>
      <c r="D19" s="9"/>
      <c r="E19" s="10"/>
      <c r="F19" s="9"/>
      <c r="G19" s="9"/>
    </row>
    <row r="20" customFormat="false" ht="15" hidden="false" customHeight="false" outlineLevel="0" collapsed="false">
      <c r="A20" s="6" t="str">
        <f aca="false">IF(B20="","",ROW()-3)</f>
        <v/>
      </c>
      <c r="B20" s="7"/>
      <c r="C20" s="8"/>
      <c r="D20" s="9"/>
      <c r="E20" s="10"/>
      <c r="F20" s="9"/>
      <c r="G20" s="9"/>
    </row>
    <row r="21" customFormat="false" ht="15" hidden="false" customHeight="false" outlineLevel="0" collapsed="false">
      <c r="A21" s="6" t="str">
        <f aca="false">IF(B21="","",ROW()-3)</f>
        <v/>
      </c>
      <c r="B21" s="7"/>
      <c r="C21" s="8"/>
      <c r="D21" s="9"/>
      <c r="E21" s="10"/>
      <c r="F21" s="9"/>
      <c r="G21" s="9"/>
    </row>
    <row r="22" customFormat="false" ht="15" hidden="false" customHeight="false" outlineLevel="0" collapsed="false">
      <c r="A22" s="6" t="str">
        <f aca="false">IF(B22="","",ROW()-3)</f>
        <v/>
      </c>
      <c r="B22" s="7"/>
      <c r="C22" s="8"/>
      <c r="D22" s="9"/>
      <c r="E22" s="10"/>
      <c r="F22" s="9"/>
      <c r="G22" s="9"/>
    </row>
    <row r="23" customFormat="false" ht="15" hidden="false" customHeight="false" outlineLevel="0" collapsed="false">
      <c r="A23" s="6" t="str">
        <f aca="false">IF(B23="","",ROW()-3)</f>
        <v/>
      </c>
      <c r="B23" s="7"/>
      <c r="C23" s="8"/>
      <c r="D23" s="9"/>
      <c r="E23" s="10"/>
      <c r="F23" s="9"/>
      <c r="G23" s="9"/>
    </row>
    <row r="24" customFormat="false" ht="15" hidden="false" customHeight="false" outlineLevel="0" collapsed="false">
      <c r="A24" s="6" t="str">
        <f aca="false">IF(B24="","",ROW()-3)</f>
        <v/>
      </c>
      <c r="B24" s="7"/>
      <c r="C24" s="8"/>
      <c r="D24" s="9"/>
      <c r="E24" s="10"/>
      <c r="F24" s="9"/>
      <c r="G24" s="9"/>
    </row>
    <row r="25" customFormat="false" ht="15" hidden="false" customHeight="false" outlineLevel="0" collapsed="false">
      <c r="A25" s="6" t="str">
        <f aca="false">IF(B25="","",ROW()-3)</f>
        <v/>
      </c>
      <c r="B25" s="7"/>
      <c r="C25" s="8"/>
      <c r="D25" s="9"/>
      <c r="E25" s="10"/>
      <c r="F25" s="9"/>
      <c r="G25" s="9"/>
    </row>
    <row r="26" customFormat="false" ht="15" hidden="false" customHeight="false" outlineLevel="0" collapsed="false">
      <c r="A26" s="6" t="str">
        <f aca="false">IF(B26="","",ROW()-3)</f>
        <v/>
      </c>
      <c r="B26" s="7"/>
      <c r="C26" s="8"/>
      <c r="D26" s="9"/>
      <c r="E26" s="10"/>
      <c r="F26" s="9"/>
      <c r="G26" s="9"/>
    </row>
    <row r="27" customFormat="false" ht="15" hidden="false" customHeight="false" outlineLevel="0" collapsed="false">
      <c r="A27" s="6" t="str">
        <f aca="false">IF(B27="","",ROW()-3)</f>
        <v/>
      </c>
      <c r="B27" s="7"/>
      <c r="C27" s="8"/>
      <c r="D27" s="9"/>
      <c r="E27" s="10"/>
      <c r="F27" s="9"/>
      <c r="G27" s="9"/>
    </row>
    <row r="28" customFormat="false" ht="15" hidden="false" customHeight="false" outlineLevel="0" collapsed="false">
      <c r="A28" s="6" t="str">
        <f aca="false">IF(B28="","",ROW()-3)</f>
        <v/>
      </c>
      <c r="B28" s="7"/>
      <c r="C28" s="8"/>
      <c r="D28" s="9"/>
      <c r="E28" s="10"/>
      <c r="F28" s="9"/>
      <c r="G28" s="9"/>
    </row>
    <row r="29" customFormat="false" ht="15" hidden="false" customHeight="false" outlineLevel="0" collapsed="false">
      <c r="A29" s="6" t="str">
        <f aca="false">IF(B29="","",ROW()-3)</f>
        <v/>
      </c>
      <c r="B29" s="7"/>
      <c r="C29" s="8"/>
      <c r="D29" s="9"/>
      <c r="E29" s="10"/>
      <c r="F29" s="9"/>
      <c r="G29" s="9"/>
    </row>
    <row r="30" customFormat="false" ht="15" hidden="false" customHeight="false" outlineLevel="0" collapsed="false">
      <c r="A30" s="6" t="str">
        <f aca="false">IF(B30="","",ROW()-3)</f>
        <v/>
      </c>
      <c r="B30" s="7"/>
      <c r="C30" s="8"/>
      <c r="D30" s="9"/>
      <c r="E30" s="10"/>
      <c r="F30" s="9"/>
      <c r="G30" s="9"/>
    </row>
    <row r="31" customFormat="false" ht="15" hidden="false" customHeight="false" outlineLevel="0" collapsed="false">
      <c r="A31" s="6" t="str">
        <f aca="false">IF(B31="","",ROW()-3)</f>
        <v/>
      </c>
      <c r="B31" s="7"/>
      <c r="C31" s="8"/>
      <c r="D31" s="9"/>
      <c r="E31" s="10"/>
      <c r="F31" s="9"/>
      <c r="G31" s="9"/>
    </row>
    <row r="32" customFormat="false" ht="15" hidden="false" customHeight="false" outlineLevel="0" collapsed="false">
      <c r="A32" s="6" t="str">
        <f aca="false">IF(B32="","",ROW()-3)</f>
        <v/>
      </c>
      <c r="B32" s="7"/>
      <c r="C32" s="8"/>
      <c r="D32" s="9"/>
      <c r="E32" s="10"/>
      <c r="F32" s="9"/>
      <c r="G32" s="9"/>
    </row>
    <row r="33" customFormat="false" ht="15" hidden="false" customHeight="false" outlineLevel="0" collapsed="false">
      <c r="A33" s="6" t="str">
        <f aca="false">IF(B33="","",ROW()-3)</f>
        <v/>
      </c>
      <c r="B33" s="7"/>
      <c r="C33" s="8"/>
      <c r="D33" s="9"/>
      <c r="E33" s="10"/>
      <c r="F33" s="9"/>
      <c r="G33" s="9"/>
    </row>
    <row r="34" customFormat="false" ht="15" hidden="false" customHeight="false" outlineLevel="0" collapsed="false">
      <c r="A34" s="6" t="str">
        <f aca="false">IF(B34="","",ROW()-3)</f>
        <v/>
      </c>
      <c r="B34" s="7"/>
      <c r="C34" s="8"/>
      <c r="D34" s="9"/>
      <c r="E34" s="10"/>
      <c r="F34" s="9"/>
      <c r="G34" s="9"/>
    </row>
    <row r="35" customFormat="false" ht="15" hidden="false" customHeight="false" outlineLevel="0" collapsed="false">
      <c r="A35" s="6" t="str">
        <f aca="false">IF(B35="","",ROW()-3)</f>
        <v/>
      </c>
      <c r="B35" s="7"/>
      <c r="C35" s="8"/>
      <c r="D35" s="9"/>
      <c r="E35" s="10"/>
      <c r="F35" s="9"/>
      <c r="G35" s="9"/>
    </row>
    <row r="36" customFormat="false" ht="15" hidden="false" customHeight="false" outlineLevel="0" collapsed="false">
      <c r="A36" s="6" t="str">
        <f aca="false">IF(B36="","",ROW()-3)</f>
        <v/>
      </c>
      <c r="B36" s="7"/>
      <c r="C36" s="8"/>
      <c r="D36" s="9"/>
      <c r="E36" s="10"/>
      <c r="F36" s="9"/>
      <c r="G36" s="9"/>
    </row>
    <row r="37" customFormat="false" ht="15" hidden="false" customHeight="false" outlineLevel="0" collapsed="false">
      <c r="A37" s="6" t="str">
        <f aca="false">IF(B37="","",ROW()-3)</f>
        <v/>
      </c>
      <c r="B37" s="7"/>
      <c r="C37" s="8"/>
      <c r="D37" s="9"/>
      <c r="E37" s="10"/>
      <c r="F37" s="9"/>
      <c r="G37" s="9"/>
    </row>
    <row r="38" customFormat="false" ht="15" hidden="false" customHeight="false" outlineLevel="0" collapsed="false">
      <c r="A38" s="6" t="str">
        <f aca="false">IF(B38="","",ROW()-3)</f>
        <v/>
      </c>
      <c r="B38" s="7"/>
      <c r="C38" s="8"/>
      <c r="D38" s="9"/>
      <c r="E38" s="10"/>
      <c r="F38" s="9"/>
      <c r="G38" s="9"/>
    </row>
    <row r="39" customFormat="false" ht="15" hidden="false" customHeight="false" outlineLevel="0" collapsed="false">
      <c r="A39" s="6" t="str">
        <f aca="false">IF(B39="","",ROW()-3)</f>
        <v/>
      </c>
      <c r="B39" s="7"/>
      <c r="C39" s="8"/>
      <c r="D39" s="9"/>
      <c r="E39" s="10"/>
      <c r="F39" s="9"/>
      <c r="G39" s="9"/>
    </row>
    <row r="40" customFormat="false" ht="15" hidden="false" customHeight="false" outlineLevel="0" collapsed="false">
      <c r="A40" s="6" t="str">
        <f aca="false">IF(B40="","",ROW()-3)</f>
        <v/>
      </c>
      <c r="B40" s="7"/>
      <c r="C40" s="8"/>
      <c r="D40" s="9"/>
      <c r="E40" s="10"/>
      <c r="F40" s="9"/>
      <c r="G40" s="9"/>
    </row>
    <row r="41" customFormat="false" ht="15" hidden="false" customHeight="false" outlineLevel="0" collapsed="false">
      <c r="A41" s="6" t="str">
        <f aca="false">IF(B41="","",ROW()-3)</f>
        <v/>
      </c>
      <c r="B41" s="7"/>
      <c r="C41" s="8"/>
      <c r="D41" s="9"/>
      <c r="E41" s="10"/>
      <c r="F41" s="9"/>
      <c r="G41" s="9"/>
    </row>
    <row r="42" customFormat="false" ht="15" hidden="false" customHeight="false" outlineLevel="0" collapsed="false">
      <c r="A42" s="6" t="str">
        <f aca="false">IF(B42="","",ROW()-3)</f>
        <v/>
      </c>
      <c r="B42" s="7"/>
      <c r="C42" s="8"/>
      <c r="D42" s="9"/>
      <c r="E42" s="10"/>
      <c r="F42" s="9"/>
      <c r="G42" s="9"/>
    </row>
    <row r="43" customFormat="false" ht="15" hidden="false" customHeight="false" outlineLevel="0" collapsed="false">
      <c r="A43" s="6" t="str">
        <f aca="false">IF(B43="","",ROW()-3)</f>
        <v/>
      </c>
      <c r="B43" s="7"/>
      <c r="C43" s="8"/>
      <c r="D43" s="9"/>
      <c r="E43" s="10"/>
      <c r="F43" s="9"/>
      <c r="G43" s="9"/>
    </row>
    <row r="44" customFormat="false" ht="15" hidden="false" customHeight="false" outlineLevel="0" collapsed="false">
      <c r="A44" s="6" t="str">
        <f aca="false">IF(B44="","",ROW()-3)</f>
        <v/>
      </c>
      <c r="B44" s="7"/>
      <c r="C44" s="8"/>
      <c r="D44" s="9"/>
      <c r="E44" s="10"/>
      <c r="F44" s="9"/>
      <c r="G44" s="9"/>
    </row>
    <row r="45" customFormat="false" ht="15" hidden="false" customHeight="false" outlineLevel="0" collapsed="false">
      <c r="A45" s="6" t="str">
        <f aca="false">IF(B45="","",ROW()-3)</f>
        <v/>
      </c>
      <c r="B45" s="7"/>
      <c r="C45" s="8"/>
      <c r="D45" s="9"/>
      <c r="E45" s="10"/>
      <c r="F45" s="9"/>
      <c r="G45" s="9"/>
    </row>
    <row r="46" customFormat="false" ht="15" hidden="false" customHeight="false" outlineLevel="0" collapsed="false">
      <c r="A46" s="6" t="str">
        <f aca="false">IF(B46="","",ROW()-3)</f>
        <v/>
      </c>
      <c r="B46" s="7"/>
      <c r="C46" s="8"/>
      <c r="D46" s="9"/>
      <c r="E46" s="10"/>
      <c r="F46" s="9"/>
      <c r="G46" s="9"/>
    </row>
    <row r="47" customFormat="false" ht="15" hidden="false" customHeight="false" outlineLevel="0" collapsed="false">
      <c r="A47" s="6" t="str">
        <f aca="false">IF(B47="","",ROW()-3)</f>
        <v/>
      </c>
      <c r="B47" s="7"/>
      <c r="C47" s="8"/>
      <c r="D47" s="9"/>
      <c r="E47" s="10"/>
      <c r="F47" s="9"/>
      <c r="G47" s="9"/>
    </row>
    <row r="48" customFormat="false" ht="15" hidden="false" customHeight="false" outlineLevel="0" collapsed="false">
      <c r="A48" s="6" t="str">
        <f aca="false">IF(B48="","",ROW()-3)</f>
        <v/>
      </c>
      <c r="B48" s="7"/>
      <c r="C48" s="8"/>
      <c r="D48" s="9"/>
      <c r="E48" s="10"/>
      <c r="F48" s="9"/>
      <c r="G48" s="9"/>
    </row>
    <row r="49" customFormat="false" ht="15" hidden="false" customHeight="false" outlineLevel="0" collapsed="false">
      <c r="A49" s="6" t="str">
        <f aca="false">IF(B49="","",ROW()-3)</f>
        <v/>
      </c>
      <c r="B49" s="7"/>
      <c r="C49" s="8"/>
      <c r="D49" s="9"/>
      <c r="E49" s="10"/>
      <c r="F49" s="9"/>
      <c r="G49" s="9"/>
    </row>
    <row r="50" customFormat="false" ht="15" hidden="false" customHeight="false" outlineLevel="0" collapsed="false">
      <c r="A50" s="6" t="str">
        <f aca="false">IF(B50="","",ROW()-3)</f>
        <v/>
      </c>
      <c r="B50" s="7"/>
      <c r="C50" s="8"/>
      <c r="D50" s="9"/>
      <c r="E50" s="10"/>
      <c r="F50" s="9"/>
      <c r="G50" s="9"/>
    </row>
    <row r="51" customFormat="false" ht="15" hidden="false" customHeight="false" outlineLevel="0" collapsed="false">
      <c r="A51" s="6" t="str">
        <f aca="false">IF(B51="","",ROW()-3)</f>
        <v/>
      </c>
      <c r="B51" s="7"/>
      <c r="C51" s="8"/>
      <c r="D51" s="9"/>
      <c r="E51" s="10"/>
      <c r="F51" s="9"/>
      <c r="G51" s="9"/>
    </row>
    <row r="52" customFormat="false" ht="15" hidden="false" customHeight="false" outlineLevel="0" collapsed="false">
      <c r="A52" s="6" t="str">
        <f aca="false">IF(B52="","",ROW()-3)</f>
        <v/>
      </c>
      <c r="B52" s="7"/>
      <c r="C52" s="8"/>
      <c r="D52" s="9"/>
      <c r="E52" s="10"/>
      <c r="F52" s="9"/>
      <c r="G52" s="9"/>
    </row>
    <row r="53" customFormat="false" ht="15" hidden="false" customHeight="false" outlineLevel="0" collapsed="false">
      <c r="A53" s="6" t="str">
        <f aca="false">IF(B53="","",ROW()-3)</f>
        <v/>
      </c>
      <c r="B53" s="7"/>
      <c r="C53" s="8"/>
      <c r="D53" s="9"/>
      <c r="E53" s="10"/>
      <c r="F53" s="9"/>
      <c r="G53" s="9"/>
    </row>
    <row r="54" customFormat="false" ht="15" hidden="false" customHeight="false" outlineLevel="0" collapsed="false">
      <c r="A54" s="6" t="str">
        <f aca="false">IF(B54="","",ROW()-3)</f>
        <v/>
      </c>
      <c r="B54" s="7"/>
      <c r="C54" s="8"/>
      <c r="D54" s="9"/>
      <c r="E54" s="10"/>
      <c r="F54" s="9"/>
      <c r="G54" s="9"/>
    </row>
    <row r="55" customFormat="false" ht="15" hidden="false" customHeight="false" outlineLevel="0" collapsed="false">
      <c r="A55" s="6" t="str">
        <f aca="false">IF(B55="","",ROW()-3)</f>
        <v/>
      </c>
      <c r="B55" s="7"/>
      <c r="C55" s="8"/>
      <c r="D55" s="9"/>
      <c r="E55" s="10"/>
      <c r="F55" s="9"/>
      <c r="G55" s="9"/>
    </row>
    <row r="56" customFormat="false" ht="15" hidden="false" customHeight="false" outlineLevel="0" collapsed="false">
      <c r="A56" s="6" t="str">
        <f aca="false">IF(B56="","",ROW()-3)</f>
        <v/>
      </c>
      <c r="B56" s="7"/>
      <c r="C56" s="8"/>
      <c r="D56" s="9"/>
      <c r="E56" s="10"/>
      <c r="F56" s="9"/>
      <c r="G56" s="9"/>
    </row>
    <row r="57" customFormat="false" ht="15" hidden="false" customHeight="false" outlineLevel="0" collapsed="false">
      <c r="A57" s="6" t="str">
        <f aca="false">IF(B57="","",ROW()-3)</f>
        <v/>
      </c>
      <c r="B57" s="7"/>
      <c r="C57" s="8"/>
      <c r="D57" s="9"/>
      <c r="E57" s="10"/>
      <c r="F57" s="9"/>
      <c r="G57" s="9"/>
    </row>
    <row r="58" customFormat="false" ht="15" hidden="false" customHeight="false" outlineLevel="0" collapsed="false">
      <c r="A58" s="6" t="str">
        <f aca="false">IF(B58="","",ROW()-3)</f>
        <v/>
      </c>
      <c r="B58" s="7"/>
      <c r="C58" s="8"/>
      <c r="D58" s="9"/>
      <c r="E58" s="10"/>
      <c r="F58" s="9"/>
      <c r="G58" s="9"/>
    </row>
    <row r="59" customFormat="false" ht="15" hidden="false" customHeight="false" outlineLevel="0" collapsed="false">
      <c r="A59" s="6" t="str">
        <f aca="false">IF(B59="","",ROW()-3)</f>
        <v/>
      </c>
      <c r="B59" s="7"/>
      <c r="C59" s="8"/>
      <c r="D59" s="9"/>
      <c r="E59" s="10"/>
      <c r="F59" s="9"/>
      <c r="G59" s="9"/>
    </row>
    <row r="60" customFormat="false" ht="15" hidden="false" customHeight="false" outlineLevel="0" collapsed="false">
      <c r="A60" s="6" t="str">
        <f aca="false">IF(B60="","",ROW()-3)</f>
        <v/>
      </c>
      <c r="B60" s="7"/>
      <c r="C60" s="8"/>
      <c r="D60" s="9"/>
      <c r="E60" s="10"/>
      <c r="F60" s="9"/>
      <c r="G60" s="9"/>
    </row>
    <row r="61" customFormat="false" ht="15" hidden="false" customHeight="false" outlineLevel="0" collapsed="false">
      <c r="A61" s="6" t="str">
        <f aca="false">IF(B61="","",ROW()-3)</f>
        <v/>
      </c>
      <c r="B61" s="7"/>
      <c r="C61" s="8"/>
      <c r="D61" s="9"/>
      <c r="E61" s="10"/>
      <c r="F61" s="9"/>
      <c r="G61" s="9"/>
    </row>
    <row r="62" customFormat="false" ht="15" hidden="false" customHeight="false" outlineLevel="0" collapsed="false">
      <c r="A62" s="6" t="str">
        <f aca="false">IF(B62="","",ROW()-3)</f>
        <v/>
      </c>
      <c r="B62" s="7"/>
      <c r="C62" s="8"/>
      <c r="D62" s="9"/>
      <c r="E62" s="10"/>
      <c r="F62" s="9"/>
      <c r="G62" s="9"/>
    </row>
    <row r="63" customFormat="false" ht="15" hidden="false" customHeight="false" outlineLevel="0" collapsed="false">
      <c r="A63" s="6" t="str">
        <f aca="false">IF(B63="","",ROW()-3)</f>
        <v/>
      </c>
      <c r="B63" s="7"/>
      <c r="C63" s="8"/>
      <c r="D63" s="9"/>
      <c r="E63" s="10"/>
      <c r="F63" s="9"/>
      <c r="G63" s="9"/>
    </row>
    <row r="64" customFormat="false" ht="15" hidden="false" customHeight="false" outlineLevel="0" collapsed="false">
      <c r="A64" s="6" t="str">
        <f aca="false">IF(B64="","",ROW()-3)</f>
        <v/>
      </c>
      <c r="B64" s="7"/>
      <c r="C64" s="8"/>
      <c r="D64" s="9"/>
      <c r="E64" s="10"/>
      <c r="F64" s="9"/>
      <c r="G64" s="9"/>
    </row>
    <row r="65" customFormat="false" ht="15" hidden="false" customHeight="false" outlineLevel="0" collapsed="false">
      <c r="A65" s="6" t="str">
        <f aca="false">IF(B65="","",ROW()-3)</f>
        <v/>
      </c>
      <c r="B65" s="7"/>
      <c r="C65" s="8"/>
      <c r="D65" s="9"/>
      <c r="E65" s="10"/>
      <c r="F65" s="9"/>
      <c r="G65" s="9"/>
    </row>
    <row r="66" customFormat="false" ht="15" hidden="false" customHeight="false" outlineLevel="0" collapsed="false">
      <c r="A66" s="6" t="str">
        <f aca="false">IF(B66="","",ROW()-3)</f>
        <v/>
      </c>
      <c r="B66" s="7"/>
      <c r="C66" s="8"/>
      <c r="D66" s="9"/>
      <c r="E66" s="10"/>
      <c r="F66" s="9"/>
      <c r="G66" s="9"/>
    </row>
    <row r="67" customFormat="false" ht="15" hidden="false" customHeight="false" outlineLevel="0" collapsed="false">
      <c r="A67" s="6" t="str">
        <f aca="false">IF(B67="","",ROW()-3)</f>
        <v/>
      </c>
      <c r="B67" s="7"/>
      <c r="C67" s="8"/>
      <c r="D67" s="9"/>
      <c r="E67" s="10"/>
      <c r="F67" s="9"/>
      <c r="G67" s="9"/>
    </row>
    <row r="68" customFormat="false" ht="15" hidden="false" customHeight="false" outlineLevel="0" collapsed="false">
      <c r="A68" s="6" t="str">
        <f aca="false">IF(B68="","",ROW()-3)</f>
        <v/>
      </c>
      <c r="B68" s="7"/>
      <c r="C68" s="8"/>
      <c r="D68" s="9"/>
      <c r="E68" s="10"/>
      <c r="F68" s="9"/>
      <c r="G68" s="9"/>
    </row>
    <row r="69" customFormat="false" ht="15" hidden="false" customHeight="false" outlineLevel="0" collapsed="false">
      <c r="A69" s="6" t="str">
        <f aca="false">IF(B69="","",ROW()-3)</f>
        <v/>
      </c>
      <c r="B69" s="7"/>
      <c r="C69" s="8"/>
      <c r="D69" s="9"/>
      <c r="E69" s="10"/>
      <c r="F69" s="9"/>
      <c r="G69" s="9"/>
    </row>
    <row r="70" customFormat="false" ht="15" hidden="false" customHeight="false" outlineLevel="0" collapsed="false">
      <c r="A70" s="6" t="str">
        <f aca="false">IF(B70="","",ROW()-3)</f>
        <v/>
      </c>
      <c r="B70" s="7"/>
      <c r="C70" s="8"/>
      <c r="D70" s="9"/>
      <c r="E70" s="10"/>
      <c r="F70" s="9"/>
      <c r="G70" s="9"/>
    </row>
    <row r="71" customFormat="false" ht="15" hidden="false" customHeight="false" outlineLevel="0" collapsed="false">
      <c r="A71" s="6" t="str">
        <f aca="false">IF(B71="","",ROW()-3)</f>
        <v/>
      </c>
      <c r="B71" s="7"/>
      <c r="C71" s="8"/>
      <c r="D71" s="9"/>
      <c r="E71" s="10"/>
      <c r="F71" s="9"/>
      <c r="G71" s="9"/>
    </row>
    <row r="72" customFormat="false" ht="15" hidden="false" customHeight="false" outlineLevel="0" collapsed="false">
      <c r="A72" s="6" t="str">
        <f aca="false">IF(B72="","",ROW()-3)</f>
        <v/>
      </c>
      <c r="B72" s="7"/>
      <c r="C72" s="8"/>
      <c r="D72" s="9"/>
      <c r="E72" s="10"/>
      <c r="F72" s="9"/>
      <c r="G72" s="9"/>
    </row>
    <row r="73" customFormat="false" ht="15" hidden="false" customHeight="false" outlineLevel="0" collapsed="false">
      <c r="A73" s="6" t="str">
        <f aca="false">IF(B73="","",ROW()-3)</f>
        <v/>
      </c>
      <c r="B73" s="7"/>
      <c r="C73" s="8"/>
      <c r="D73" s="9"/>
      <c r="E73" s="10"/>
      <c r="F73" s="9"/>
      <c r="G73" s="9"/>
    </row>
    <row r="74" customFormat="false" ht="15" hidden="false" customHeight="false" outlineLevel="0" collapsed="false">
      <c r="A74" s="6" t="str">
        <f aca="false">IF(B74="","",ROW()-3)</f>
        <v/>
      </c>
      <c r="B74" s="7"/>
      <c r="C74" s="8"/>
      <c r="D74" s="9"/>
      <c r="E74" s="10"/>
      <c r="F74" s="9"/>
      <c r="G74" s="9"/>
    </row>
    <row r="75" customFormat="false" ht="15" hidden="false" customHeight="false" outlineLevel="0" collapsed="false">
      <c r="A75" s="6" t="str">
        <f aca="false">IF(B75="","",ROW()-3)</f>
        <v/>
      </c>
      <c r="B75" s="7"/>
      <c r="C75" s="8"/>
      <c r="D75" s="9"/>
      <c r="E75" s="10"/>
      <c r="F75" s="9"/>
      <c r="G75" s="9"/>
    </row>
    <row r="76" customFormat="false" ht="15" hidden="false" customHeight="false" outlineLevel="0" collapsed="false">
      <c r="A76" s="6" t="str">
        <f aca="false">IF(B76="","",ROW()-3)</f>
        <v/>
      </c>
      <c r="B76" s="7"/>
      <c r="C76" s="8"/>
      <c r="D76" s="9"/>
      <c r="E76" s="10"/>
      <c r="F76" s="9"/>
      <c r="G76" s="9"/>
    </row>
    <row r="77" customFormat="false" ht="15" hidden="false" customHeight="false" outlineLevel="0" collapsed="false">
      <c r="A77" s="6" t="str">
        <f aca="false">IF(B77="","",ROW()-3)</f>
        <v/>
      </c>
      <c r="B77" s="7"/>
      <c r="C77" s="8"/>
      <c r="D77" s="9"/>
      <c r="E77" s="10"/>
      <c r="F77" s="9"/>
      <c r="G77" s="9"/>
    </row>
    <row r="78" customFormat="false" ht="15" hidden="false" customHeight="false" outlineLevel="0" collapsed="false">
      <c r="A78" s="6" t="str">
        <f aca="false">IF(B78="","",ROW()-3)</f>
        <v/>
      </c>
      <c r="B78" s="7"/>
      <c r="C78" s="8"/>
      <c r="D78" s="9"/>
      <c r="E78" s="10"/>
      <c r="F78" s="9"/>
      <c r="G78" s="9"/>
    </row>
    <row r="79" customFormat="false" ht="15" hidden="false" customHeight="false" outlineLevel="0" collapsed="false">
      <c r="A79" s="6" t="str">
        <f aca="false">IF(B79="","",ROW()-3)</f>
        <v/>
      </c>
      <c r="B79" s="7"/>
      <c r="C79" s="8"/>
      <c r="D79" s="9"/>
      <c r="E79" s="10"/>
      <c r="F79" s="9"/>
      <c r="G79" s="9"/>
    </row>
    <row r="80" customFormat="false" ht="15" hidden="false" customHeight="false" outlineLevel="0" collapsed="false">
      <c r="A80" s="6" t="str">
        <f aca="false">IF(B80="","",ROW()-3)</f>
        <v/>
      </c>
      <c r="B80" s="7"/>
      <c r="C80" s="8"/>
      <c r="D80" s="9"/>
      <c r="E80" s="10"/>
      <c r="F80" s="9"/>
      <c r="G80" s="9"/>
    </row>
    <row r="81" customFormat="false" ht="15" hidden="false" customHeight="false" outlineLevel="0" collapsed="false">
      <c r="A81" s="6" t="str">
        <f aca="false">IF(B81="","",ROW()-3)</f>
        <v/>
      </c>
      <c r="B81" s="7"/>
      <c r="C81" s="8"/>
      <c r="D81" s="9"/>
      <c r="E81" s="10"/>
      <c r="F81" s="9"/>
      <c r="G81" s="9"/>
    </row>
    <row r="82" customFormat="false" ht="15" hidden="false" customHeight="false" outlineLevel="0" collapsed="false">
      <c r="A82" s="6" t="str">
        <f aca="false">IF(B82="","",ROW()-3)</f>
        <v/>
      </c>
      <c r="B82" s="7"/>
      <c r="C82" s="8"/>
      <c r="D82" s="9"/>
      <c r="E82" s="10"/>
      <c r="F82" s="9"/>
      <c r="G82" s="9"/>
    </row>
    <row r="83" customFormat="false" ht="15" hidden="false" customHeight="false" outlineLevel="0" collapsed="false">
      <c r="A83" s="6" t="str">
        <f aca="false">IF(B83="","",ROW()-3)</f>
        <v/>
      </c>
      <c r="B83" s="7"/>
      <c r="C83" s="8"/>
      <c r="D83" s="9"/>
      <c r="E83" s="10"/>
      <c r="F83" s="9"/>
      <c r="G83" s="9"/>
    </row>
    <row r="84" customFormat="false" ht="15" hidden="false" customHeight="false" outlineLevel="0" collapsed="false">
      <c r="A84" s="6" t="str">
        <f aca="false">IF(B84="","",ROW()-3)</f>
        <v/>
      </c>
      <c r="B84" s="7"/>
      <c r="C84" s="8"/>
      <c r="D84" s="9"/>
      <c r="E84" s="10"/>
      <c r="F84" s="9"/>
      <c r="G84" s="9"/>
    </row>
    <row r="85" customFormat="false" ht="15" hidden="false" customHeight="false" outlineLevel="0" collapsed="false">
      <c r="A85" s="6" t="str">
        <f aca="false">IF(B85="","",ROW()-3)</f>
        <v/>
      </c>
      <c r="B85" s="7"/>
      <c r="C85" s="8"/>
      <c r="D85" s="9"/>
      <c r="E85" s="10"/>
      <c r="F85" s="9"/>
      <c r="G85" s="9"/>
    </row>
    <row r="86" customFormat="false" ht="15" hidden="false" customHeight="false" outlineLevel="0" collapsed="false">
      <c r="A86" s="6" t="str">
        <f aca="false">IF(B86="","",ROW()-3)</f>
        <v/>
      </c>
      <c r="B86" s="7"/>
      <c r="C86" s="8"/>
      <c r="D86" s="9"/>
      <c r="E86" s="10"/>
      <c r="F86" s="9"/>
      <c r="G86" s="9"/>
    </row>
    <row r="87" customFormat="false" ht="15" hidden="false" customHeight="false" outlineLevel="0" collapsed="false">
      <c r="A87" s="6" t="str">
        <f aca="false">IF(B87="","",ROW()-3)</f>
        <v/>
      </c>
      <c r="B87" s="7"/>
      <c r="C87" s="8"/>
      <c r="D87" s="9"/>
      <c r="E87" s="10"/>
      <c r="F87" s="9"/>
      <c r="G87" s="9"/>
    </row>
    <row r="88" customFormat="false" ht="15" hidden="false" customHeight="false" outlineLevel="0" collapsed="false">
      <c r="A88" s="6" t="str">
        <f aca="false">IF(B88="","",ROW()-3)</f>
        <v/>
      </c>
      <c r="B88" s="7"/>
      <c r="C88" s="8"/>
      <c r="D88" s="9"/>
      <c r="E88" s="10"/>
      <c r="F88" s="9"/>
      <c r="G88" s="9"/>
    </row>
    <row r="89" customFormat="false" ht="15" hidden="false" customHeight="false" outlineLevel="0" collapsed="false">
      <c r="A89" s="6" t="str">
        <f aca="false">IF(B89="","",ROW()-3)</f>
        <v/>
      </c>
      <c r="B89" s="7"/>
      <c r="C89" s="8"/>
      <c r="D89" s="9"/>
      <c r="E89" s="10"/>
      <c r="F89" s="9"/>
      <c r="G89" s="9"/>
    </row>
    <row r="90" customFormat="false" ht="15" hidden="false" customHeight="false" outlineLevel="0" collapsed="false">
      <c r="A90" s="6" t="str">
        <f aca="false">IF(B90="","",ROW()-3)</f>
        <v/>
      </c>
      <c r="B90" s="7"/>
      <c r="C90" s="8"/>
      <c r="D90" s="9"/>
      <c r="E90" s="10"/>
      <c r="F90" s="9"/>
      <c r="G90" s="9"/>
    </row>
    <row r="91" customFormat="false" ht="15" hidden="false" customHeight="false" outlineLevel="0" collapsed="false">
      <c r="A91" s="6" t="str">
        <f aca="false">IF(B91="","",ROW()-3)</f>
        <v/>
      </c>
      <c r="B91" s="7"/>
      <c r="C91" s="8"/>
      <c r="D91" s="9"/>
      <c r="E91" s="10"/>
      <c r="F91" s="9"/>
      <c r="G91" s="9"/>
    </row>
    <row r="92" customFormat="false" ht="15" hidden="false" customHeight="false" outlineLevel="0" collapsed="false">
      <c r="A92" s="6" t="str">
        <f aca="false">IF(B92="","",ROW()-3)</f>
        <v/>
      </c>
      <c r="B92" s="7"/>
      <c r="C92" s="8"/>
      <c r="D92" s="9"/>
      <c r="E92" s="10"/>
      <c r="F92" s="9"/>
      <c r="G92" s="9"/>
    </row>
    <row r="93" customFormat="false" ht="15" hidden="false" customHeight="false" outlineLevel="0" collapsed="false">
      <c r="A93" s="6" t="str">
        <f aca="false">IF(B93="","",ROW()-3)</f>
        <v/>
      </c>
      <c r="B93" s="7"/>
      <c r="C93" s="8"/>
      <c r="D93" s="9"/>
      <c r="E93" s="10"/>
      <c r="F93" s="9"/>
      <c r="G93" s="9"/>
    </row>
    <row r="94" customFormat="false" ht="15" hidden="false" customHeight="false" outlineLevel="0" collapsed="false">
      <c r="A94" s="6" t="str">
        <f aca="false">IF(B94="","",ROW()-3)</f>
        <v/>
      </c>
      <c r="B94" s="7"/>
      <c r="C94" s="8"/>
      <c r="D94" s="9"/>
      <c r="E94" s="10"/>
      <c r="F94" s="9"/>
      <c r="G94" s="9"/>
    </row>
    <row r="95" customFormat="false" ht="15" hidden="false" customHeight="false" outlineLevel="0" collapsed="false">
      <c r="A95" s="6" t="str">
        <f aca="false">IF(B95="","",ROW()-3)</f>
        <v/>
      </c>
      <c r="B95" s="7"/>
      <c r="C95" s="8"/>
      <c r="D95" s="9"/>
      <c r="E95" s="10"/>
      <c r="F95" s="9"/>
      <c r="G95" s="9"/>
    </row>
    <row r="96" customFormat="false" ht="15" hidden="false" customHeight="false" outlineLevel="0" collapsed="false">
      <c r="A96" s="6" t="str">
        <f aca="false">IF(B96="","",ROW()-3)</f>
        <v/>
      </c>
      <c r="B96" s="7"/>
      <c r="C96" s="8"/>
      <c r="D96" s="9"/>
      <c r="E96" s="10"/>
      <c r="F96" s="9"/>
      <c r="G96" s="9"/>
    </row>
    <row r="97" customFormat="false" ht="15" hidden="false" customHeight="false" outlineLevel="0" collapsed="false">
      <c r="A97" s="6" t="str">
        <f aca="false">IF(B97="","",ROW()-3)</f>
        <v/>
      </c>
      <c r="B97" s="7"/>
      <c r="C97" s="8"/>
      <c r="D97" s="9"/>
      <c r="E97" s="10"/>
      <c r="F97" s="9"/>
      <c r="G97" s="9"/>
    </row>
    <row r="98" customFormat="false" ht="15" hidden="false" customHeight="false" outlineLevel="0" collapsed="false">
      <c r="A98" s="6" t="str">
        <f aca="false">IF(B98="","",ROW()-3)</f>
        <v/>
      </c>
      <c r="B98" s="7"/>
      <c r="C98" s="8"/>
      <c r="D98" s="9"/>
      <c r="E98" s="10"/>
      <c r="F98" s="9"/>
      <c r="G98" s="9"/>
    </row>
    <row r="99" customFormat="false" ht="15" hidden="false" customHeight="false" outlineLevel="0" collapsed="false">
      <c r="A99" s="6" t="str">
        <f aca="false">IF(B99="","",ROW()-3)</f>
        <v/>
      </c>
      <c r="B99" s="7"/>
      <c r="C99" s="8"/>
      <c r="D99" s="9"/>
      <c r="E99" s="10"/>
      <c r="F99" s="9"/>
      <c r="G99" s="9"/>
    </row>
    <row r="100" customFormat="false" ht="15" hidden="false" customHeight="false" outlineLevel="0" collapsed="false">
      <c r="A100" s="6" t="str">
        <f aca="false">IF(B100="","",ROW()-3)</f>
        <v/>
      </c>
      <c r="B100" s="7"/>
      <c r="C100" s="8"/>
      <c r="D100" s="9"/>
      <c r="E100" s="10"/>
      <c r="F100" s="9"/>
      <c r="G100" s="9"/>
    </row>
    <row r="101" customFormat="false" ht="15" hidden="false" customHeight="false" outlineLevel="0" collapsed="false">
      <c r="A101" s="6" t="str">
        <f aca="false">IF(B101="","",ROW()-3)</f>
        <v/>
      </c>
      <c r="B101" s="7"/>
      <c r="C101" s="8"/>
      <c r="D101" s="9"/>
      <c r="E101" s="10"/>
      <c r="F101" s="9"/>
      <c r="G101" s="9"/>
    </row>
    <row r="102" customFormat="false" ht="15" hidden="false" customHeight="false" outlineLevel="0" collapsed="false">
      <c r="A102" s="6" t="str">
        <f aca="false">IF(B102="","",ROW()-3)</f>
        <v/>
      </c>
      <c r="B102" s="7"/>
      <c r="C102" s="8"/>
      <c r="D102" s="9"/>
      <c r="E102" s="10"/>
      <c r="F102" s="9"/>
      <c r="G102" s="9"/>
    </row>
    <row r="103" customFormat="false" ht="15" hidden="false" customHeight="false" outlineLevel="0" collapsed="false">
      <c r="A103" s="6" t="str">
        <f aca="false">IF(B103="","",ROW()-3)</f>
        <v/>
      </c>
      <c r="B103" s="7"/>
      <c r="C103" s="8"/>
      <c r="D103" s="9"/>
      <c r="E103" s="10"/>
      <c r="F103" s="9"/>
      <c r="G103" s="9"/>
    </row>
    <row r="104" customFormat="false" ht="15" hidden="false" customHeight="false" outlineLevel="0" collapsed="false">
      <c r="A104" s="6" t="str">
        <f aca="false">IF(B104="","",ROW()-3)</f>
        <v/>
      </c>
      <c r="B104" s="7"/>
      <c r="C104" s="8"/>
      <c r="D104" s="9"/>
      <c r="E104" s="10"/>
      <c r="F104" s="9"/>
      <c r="G104" s="9"/>
    </row>
    <row r="105" customFormat="false" ht="15" hidden="false" customHeight="false" outlineLevel="0" collapsed="false">
      <c r="A105" s="6" t="str">
        <f aca="false">IF(B105="","",ROW()-3)</f>
        <v/>
      </c>
      <c r="B105" s="7"/>
      <c r="C105" s="8"/>
      <c r="D105" s="9"/>
      <c r="E105" s="10"/>
      <c r="F105" s="9"/>
      <c r="G105" s="9"/>
    </row>
    <row r="106" customFormat="false" ht="15" hidden="false" customHeight="false" outlineLevel="0" collapsed="false">
      <c r="A106" s="6" t="str">
        <f aca="false">IF(B106="","",ROW()-3)</f>
        <v/>
      </c>
      <c r="B106" s="7"/>
      <c r="C106" s="8"/>
      <c r="D106" s="9"/>
      <c r="E106" s="10"/>
      <c r="F106" s="9"/>
      <c r="G106" s="9"/>
    </row>
    <row r="107" customFormat="false" ht="15" hidden="false" customHeight="false" outlineLevel="0" collapsed="false">
      <c r="A107" s="6" t="str">
        <f aca="false">IF(B107="","",ROW()-3)</f>
        <v/>
      </c>
      <c r="B107" s="7"/>
      <c r="C107" s="8"/>
      <c r="D107" s="9"/>
      <c r="E107" s="10"/>
      <c r="F107" s="9"/>
      <c r="G107" s="9"/>
    </row>
    <row r="108" customFormat="false" ht="15" hidden="false" customHeight="false" outlineLevel="0" collapsed="false">
      <c r="A108" s="6" t="str">
        <f aca="false">IF(B108="","",ROW()-3)</f>
        <v/>
      </c>
      <c r="B108" s="7"/>
      <c r="C108" s="8"/>
      <c r="D108" s="9"/>
      <c r="E108" s="10"/>
      <c r="F108" s="9"/>
      <c r="G108" s="9"/>
    </row>
    <row r="109" customFormat="false" ht="15" hidden="false" customHeight="false" outlineLevel="0" collapsed="false">
      <c r="A109" s="6" t="str">
        <f aca="false">IF(B109="","",ROW()-3)</f>
        <v/>
      </c>
      <c r="B109" s="7"/>
      <c r="C109" s="8"/>
      <c r="D109" s="9"/>
      <c r="E109" s="10"/>
      <c r="F109" s="9"/>
      <c r="G109" s="9"/>
    </row>
    <row r="110" customFormat="false" ht="15" hidden="false" customHeight="false" outlineLevel="0" collapsed="false">
      <c r="A110" s="6" t="str">
        <f aca="false">IF(B110="","",ROW()-3)</f>
        <v/>
      </c>
      <c r="B110" s="7"/>
      <c r="C110" s="8"/>
      <c r="D110" s="9"/>
      <c r="E110" s="10"/>
      <c r="F110" s="9"/>
      <c r="G110" s="9"/>
    </row>
    <row r="111" customFormat="false" ht="15" hidden="false" customHeight="false" outlineLevel="0" collapsed="false">
      <c r="A111" s="6" t="str">
        <f aca="false">IF(B111="","",ROW()-3)</f>
        <v/>
      </c>
      <c r="B111" s="7"/>
      <c r="C111" s="8"/>
      <c r="D111" s="9"/>
      <c r="E111" s="10"/>
      <c r="F111" s="9"/>
      <c r="G111" s="9"/>
    </row>
    <row r="112" customFormat="false" ht="15" hidden="false" customHeight="false" outlineLevel="0" collapsed="false">
      <c r="A112" s="6" t="str">
        <f aca="false">IF(B112="","",ROW()-3)</f>
        <v/>
      </c>
      <c r="B112" s="7"/>
      <c r="C112" s="8"/>
      <c r="D112" s="9"/>
      <c r="E112" s="10"/>
      <c r="F112" s="9"/>
      <c r="G112" s="9"/>
    </row>
    <row r="113" customFormat="false" ht="15" hidden="false" customHeight="false" outlineLevel="0" collapsed="false">
      <c r="A113" s="6" t="str">
        <f aca="false">IF(B113="","",ROW()-3)</f>
        <v/>
      </c>
      <c r="B113" s="7"/>
      <c r="C113" s="8"/>
      <c r="D113" s="9"/>
      <c r="E113" s="10"/>
      <c r="F113" s="9"/>
      <c r="G113" s="9"/>
    </row>
    <row r="114" customFormat="false" ht="15" hidden="false" customHeight="false" outlineLevel="0" collapsed="false">
      <c r="A114" s="6" t="str">
        <f aca="false">IF(B114="","",ROW()-3)</f>
        <v/>
      </c>
      <c r="B114" s="7"/>
      <c r="C114" s="8"/>
      <c r="D114" s="9"/>
      <c r="E114" s="10"/>
      <c r="F114" s="9"/>
      <c r="G114" s="9"/>
    </row>
    <row r="115" customFormat="false" ht="15" hidden="false" customHeight="false" outlineLevel="0" collapsed="false">
      <c r="A115" s="6" t="str">
        <f aca="false">IF(B115="","",ROW()-3)</f>
        <v/>
      </c>
      <c r="B115" s="7"/>
      <c r="C115" s="8"/>
      <c r="D115" s="9"/>
      <c r="E115" s="10"/>
      <c r="F115" s="9"/>
      <c r="G115" s="9"/>
    </row>
    <row r="116" customFormat="false" ht="15" hidden="false" customHeight="false" outlineLevel="0" collapsed="false">
      <c r="A116" s="6" t="str">
        <f aca="false">IF(B116="","",ROW()-3)</f>
        <v/>
      </c>
      <c r="B116" s="7"/>
      <c r="C116" s="8"/>
      <c r="D116" s="9"/>
      <c r="E116" s="10"/>
      <c r="F116" s="9"/>
      <c r="G116" s="9"/>
    </row>
    <row r="117" customFormat="false" ht="15" hidden="false" customHeight="false" outlineLevel="0" collapsed="false">
      <c r="A117" s="6" t="str">
        <f aca="false">IF(B117="","",ROW()-3)</f>
        <v/>
      </c>
      <c r="B117" s="7"/>
      <c r="C117" s="8"/>
      <c r="D117" s="9"/>
      <c r="E117" s="10"/>
      <c r="F117" s="9"/>
      <c r="G117" s="9"/>
    </row>
    <row r="118" customFormat="false" ht="15" hidden="false" customHeight="false" outlineLevel="0" collapsed="false">
      <c r="A118" s="6" t="str">
        <f aca="false">IF(B118="","",ROW()-3)</f>
        <v/>
      </c>
      <c r="B118" s="7"/>
      <c r="C118" s="8"/>
      <c r="D118" s="9"/>
      <c r="E118" s="10"/>
      <c r="F118" s="9"/>
      <c r="G118" s="9"/>
    </row>
    <row r="119" customFormat="false" ht="15" hidden="false" customHeight="false" outlineLevel="0" collapsed="false">
      <c r="A119" s="6" t="str">
        <f aca="false">IF(B119="","",ROW()-3)</f>
        <v/>
      </c>
      <c r="B119" s="7"/>
      <c r="C119" s="8"/>
      <c r="D119" s="9"/>
      <c r="E119" s="10"/>
      <c r="F119" s="9"/>
      <c r="G119" s="9"/>
    </row>
    <row r="120" customFormat="false" ht="15" hidden="false" customHeight="false" outlineLevel="0" collapsed="false">
      <c r="A120" s="6" t="str">
        <f aca="false">IF(B120="","",ROW()-3)</f>
        <v/>
      </c>
      <c r="B120" s="7"/>
      <c r="C120" s="8"/>
      <c r="D120" s="9"/>
      <c r="E120" s="10"/>
      <c r="F120" s="9"/>
      <c r="G120" s="9"/>
    </row>
    <row r="121" customFormat="false" ht="15" hidden="false" customHeight="false" outlineLevel="0" collapsed="false">
      <c r="A121" s="6" t="str">
        <f aca="false">IF(B121="","",ROW()-3)</f>
        <v/>
      </c>
      <c r="B121" s="7"/>
      <c r="C121" s="8"/>
      <c r="D121" s="9"/>
      <c r="E121" s="10"/>
      <c r="F121" s="9"/>
      <c r="G121" s="9"/>
    </row>
    <row r="122" customFormat="false" ht="15" hidden="false" customHeight="false" outlineLevel="0" collapsed="false">
      <c r="A122" s="6" t="str">
        <f aca="false">IF(B122="","",ROW()-3)</f>
        <v/>
      </c>
      <c r="B122" s="7"/>
      <c r="C122" s="8"/>
      <c r="D122" s="9"/>
      <c r="E122" s="10"/>
      <c r="F122" s="9"/>
      <c r="G122" s="9"/>
    </row>
    <row r="123" customFormat="false" ht="15" hidden="false" customHeight="false" outlineLevel="0" collapsed="false">
      <c r="A123" s="6" t="str">
        <f aca="false">IF(B123="","",ROW()-3)</f>
        <v/>
      </c>
      <c r="B123" s="7"/>
      <c r="C123" s="8"/>
      <c r="D123" s="9"/>
      <c r="E123" s="10"/>
      <c r="F123" s="9"/>
      <c r="G123" s="9"/>
    </row>
    <row r="124" customFormat="false" ht="15" hidden="false" customHeight="false" outlineLevel="0" collapsed="false">
      <c r="A124" s="6" t="str">
        <f aca="false">IF(B124="","",ROW()-3)</f>
        <v/>
      </c>
      <c r="B124" s="7"/>
      <c r="C124" s="8"/>
      <c r="D124" s="9"/>
      <c r="E124" s="10"/>
      <c r="F124" s="9"/>
      <c r="G124" s="9"/>
    </row>
    <row r="125" customFormat="false" ht="15" hidden="false" customHeight="false" outlineLevel="0" collapsed="false">
      <c r="A125" s="6" t="str">
        <f aca="false">IF(B125="","",ROW()-3)</f>
        <v/>
      </c>
      <c r="B125" s="7"/>
      <c r="C125" s="8"/>
      <c r="D125" s="9"/>
      <c r="E125" s="10"/>
      <c r="F125" s="9"/>
      <c r="G125" s="9"/>
    </row>
    <row r="126" customFormat="false" ht="15" hidden="false" customHeight="false" outlineLevel="0" collapsed="false">
      <c r="A126" s="6" t="str">
        <f aca="false">IF(B126="","",ROW()-3)</f>
        <v/>
      </c>
      <c r="B126" s="7"/>
      <c r="C126" s="8"/>
      <c r="D126" s="9"/>
      <c r="E126" s="10"/>
      <c r="F126" s="9"/>
      <c r="G126" s="9"/>
    </row>
    <row r="127" customFormat="false" ht="15" hidden="false" customHeight="false" outlineLevel="0" collapsed="false">
      <c r="A127" s="6" t="str">
        <f aca="false">IF(B127="","",ROW()-3)</f>
        <v/>
      </c>
      <c r="B127" s="7"/>
      <c r="C127" s="8"/>
      <c r="D127" s="9"/>
      <c r="E127" s="10"/>
      <c r="F127" s="9"/>
      <c r="G127" s="9"/>
    </row>
    <row r="128" customFormat="false" ht="15" hidden="false" customHeight="false" outlineLevel="0" collapsed="false">
      <c r="A128" s="6" t="str">
        <f aca="false">IF(B128="","",ROW()-3)</f>
        <v/>
      </c>
      <c r="B128" s="7"/>
      <c r="C128" s="8"/>
      <c r="D128" s="9"/>
      <c r="E128" s="10"/>
      <c r="F128" s="9"/>
      <c r="G128" s="9"/>
    </row>
    <row r="129" customFormat="false" ht="15" hidden="false" customHeight="false" outlineLevel="0" collapsed="false">
      <c r="A129" s="6" t="str">
        <f aca="false">IF(B129="","",ROW()-3)</f>
        <v/>
      </c>
      <c r="B129" s="7"/>
      <c r="C129" s="8"/>
      <c r="D129" s="9"/>
      <c r="E129" s="10"/>
      <c r="F129" s="9"/>
      <c r="G129" s="9"/>
    </row>
    <row r="130" customFormat="false" ht="15" hidden="false" customHeight="false" outlineLevel="0" collapsed="false">
      <c r="A130" s="6" t="str">
        <f aca="false">IF(B130="","",ROW()-3)</f>
        <v/>
      </c>
      <c r="B130" s="7"/>
      <c r="C130" s="8"/>
      <c r="D130" s="9"/>
      <c r="E130" s="10"/>
      <c r="F130" s="9"/>
      <c r="G130" s="9"/>
    </row>
    <row r="131" customFormat="false" ht="15" hidden="false" customHeight="false" outlineLevel="0" collapsed="false">
      <c r="A131" s="6" t="str">
        <f aca="false">IF(B131="","",ROW()-3)</f>
        <v/>
      </c>
      <c r="B131" s="7"/>
      <c r="C131" s="8"/>
      <c r="D131" s="9"/>
      <c r="E131" s="10"/>
      <c r="F131" s="9"/>
      <c r="G131" s="9"/>
    </row>
    <row r="132" customFormat="false" ht="15" hidden="false" customHeight="false" outlineLevel="0" collapsed="false">
      <c r="A132" s="6" t="str">
        <f aca="false">IF(B132="","",ROW()-3)</f>
        <v/>
      </c>
      <c r="B132" s="7"/>
      <c r="C132" s="8"/>
      <c r="D132" s="9"/>
      <c r="E132" s="10"/>
      <c r="F132" s="9"/>
      <c r="G132" s="9"/>
    </row>
    <row r="133" customFormat="false" ht="15" hidden="false" customHeight="false" outlineLevel="0" collapsed="false">
      <c r="A133" s="6" t="str">
        <f aca="false">IF(B133="","",ROW()-3)</f>
        <v/>
      </c>
      <c r="B133" s="7"/>
      <c r="C133" s="8"/>
      <c r="D133" s="9"/>
      <c r="E133" s="10"/>
      <c r="F133" s="9"/>
      <c r="G133" s="9"/>
    </row>
    <row r="134" customFormat="false" ht="15" hidden="false" customHeight="false" outlineLevel="0" collapsed="false">
      <c r="A134" s="6" t="str">
        <f aca="false">IF(B134="","",ROW()-3)</f>
        <v/>
      </c>
      <c r="B134" s="7"/>
      <c r="C134" s="8"/>
      <c r="D134" s="9"/>
      <c r="E134" s="10"/>
      <c r="F134" s="9"/>
      <c r="G134" s="9"/>
    </row>
    <row r="135" customFormat="false" ht="15" hidden="false" customHeight="false" outlineLevel="0" collapsed="false">
      <c r="A135" s="6" t="str">
        <f aca="false">IF(B135="","",ROW()-3)</f>
        <v/>
      </c>
      <c r="B135" s="7"/>
      <c r="C135" s="8"/>
      <c r="D135" s="9"/>
      <c r="E135" s="10"/>
      <c r="F135" s="9"/>
      <c r="G135" s="9"/>
    </row>
    <row r="136" customFormat="false" ht="15" hidden="false" customHeight="false" outlineLevel="0" collapsed="false">
      <c r="A136" s="6" t="str">
        <f aca="false">IF(B136="","",ROW()-3)</f>
        <v/>
      </c>
      <c r="B136" s="7"/>
      <c r="C136" s="8"/>
      <c r="D136" s="9"/>
      <c r="E136" s="10"/>
      <c r="F136" s="9"/>
      <c r="G136" s="9"/>
    </row>
    <row r="137" customFormat="false" ht="15" hidden="false" customHeight="false" outlineLevel="0" collapsed="false">
      <c r="A137" s="6" t="str">
        <f aca="false">IF(B137="","",ROW()-3)</f>
        <v/>
      </c>
      <c r="B137" s="7"/>
      <c r="C137" s="8"/>
      <c r="D137" s="9"/>
      <c r="E137" s="10"/>
      <c r="F137" s="9"/>
      <c r="G137" s="9"/>
    </row>
    <row r="138" customFormat="false" ht="15" hidden="false" customHeight="false" outlineLevel="0" collapsed="false">
      <c r="A138" s="6" t="str">
        <f aca="false">IF(B138="","",ROW()-3)</f>
        <v/>
      </c>
      <c r="B138" s="7"/>
      <c r="C138" s="8"/>
      <c r="D138" s="9"/>
      <c r="E138" s="10"/>
      <c r="F138" s="9"/>
      <c r="G138" s="9"/>
    </row>
    <row r="139" customFormat="false" ht="15" hidden="false" customHeight="false" outlineLevel="0" collapsed="false">
      <c r="A139" s="6" t="str">
        <f aca="false">IF(B139="","",ROW()-3)</f>
        <v/>
      </c>
      <c r="B139" s="7"/>
      <c r="C139" s="8"/>
      <c r="D139" s="9"/>
      <c r="E139" s="10"/>
      <c r="F139" s="9"/>
      <c r="G139" s="9"/>
    </row>
    <row r="140" customFormat="false" ht="15" hidden="false" customHeight="false" outlineLevel="0" collapsed="false">
      <c r="A140" s="6" t="str">
        <f aca="false">IF(B140="","",ROW()-3)</f>
        <v/>
      </c>
      <c r="B140" s="7"/>
      <c r="C140" s="8"/>
      <c r="D140" s="9"/>
      <c r="E140" s="10"/>
      <c r="F140" s="9"/>
      <c r="G140" s="9"/>
    </row>
    <row r="141" customFormat="false" ht="15" hidden="false" customHeight="false" outlineLevel="0" collapsed="false">
      <c r="A141" s="6" t="str">
        <f aca="false">IF(B141="","",ROW()-3)</f>
        <v/>
      </c>
      <c r="B141" s="7"/>
      <c r="C141" s="8"/>
      <c r="D141" s="9"/>
      <c r="E141" s="10"/>
      <c r="F141" s="9"/>
      <c r="G141" s="9"/>
    </row>
    <row r="142" customFormat="false" ht="15" hidden="false" customHeight="false" outlineLevel="0" collapsed="false">
      <c r="A142" s="6" t="str">
        <f aca="false">IF(B142="","",ROW()-3)</f>
        <v/>
      </c>
      <c r="B142" s="7"/>
      <c r="C142" s="8"/>
      <c r="D142" s="9"/>
      <c r="E142" s="10"/>
      <c r="F142" s="9"/>
      <c r="G142" s="9"/>
    </row>
    <row r="143" customFormat="false" ht="15" hidden="false" customHeight="false" outlineLevel="0" collapsed="false">
      <c r="A143" s="6" t="str">
        <f aca="false">IF(B143="","",ROW()-3)</f>
        <v/>
      </c>
      <c r="B143" s="7"/>
      <c r="C143" s="8"/>
      <c r="D143" s="9"/>
      <c r="E143" s="10"/>
      <c r="F143" s="9"/>
      <c r="G143" s="9"/>
    </row>
    <row r="144" customFormat="false" ht="15" hidden="false" customHeight="false" outlineLevel="0" collapsed="false">
      <c r="A144" s="6" t="str">
        <f aca="false">IF(B144="","",ROW()-3)</f>
        <v/>
      </c>
      <c r="B144" s="7"/>
      <c r="C144" s="8"/>
      <c r="D144" s="9"/>
      <c r="E144" s="10"/>
      <c r="F144" s="9"/>
      <c r="G144" s="9"/>
    </row>
    <row r="145" customFormat="false" ht="15" hidden="false" customHeight="false" outlineLevel="0" collapsed="false">
      <c r="A145" s="6" t="str">
        <f aca="false">IF(B145="","",ROW()-3)</f>
        <v/>
      </c>
      <c r="B145" s="7"/>
      <c r="C145" s="8"/>
      <c r="D145" s="9"/>
      <c r="E145" s="10"/>
      <c r="F145" s="9"/>
      <c r="G145" s="9"/>
    </row>
    <row r="146" customFormat="false" ht="15" hidden="false" customHeight="false" outlineLevel="0" collapsed="false">
      <c r="A146" s="6" t="str">
        <f aca="false">IF(B146="","",ROW()-3)</f>
        <v/>
      </c>
      <c r="B146" s="7"/>
      <c r="C146" s="8"/>
      <c r="D146" s="9"/>
      <c r="E146" s="10"/>
      <c r="F146" s="9"/>
      <c r="G146" s="9"/>
    </row>
    <row r="147" customFormat="false" ht="15" hidden="false" customHeight="false" outlineLevel="0" collapsed="false">
      <c r="A147" s="6" t="str">
        <f aca="false">IF(B147="","",ROW()-3)</f>
        <v/>
      </c>
      <c r="B147" s="7"/>
      <c r="C147" s="8"/>
      <c r="D147" s="9"/>
      <c r="E147" s="10"/>
      <c r="F147" s="9"/>
      <c r="G147" s="9"/>
    </row>
    <row r="148" customFormat="false" ht="15" hidden="false" customHeight="false" outlineLevel="0" collapsed="false">
      <c r="A148" s="6" t="str">
        <f aca="false">IF(B148="","",ROW()-3)</f>
        <v/>
      </c>
      <c r="B148" s="7"/>
      <c r="C148" s="8"/>
      <c r="D148" s="9"/>
      <c r="E148" s="10"/>
      <c r="F148" s="9"/>
      <c r="G148" s="9"/>
    </row>
    <row r="149" customFormat="false" ht="15" hidden="false" customHeight="false" outlineLevel="0" collapsed="false">
      <c r="A149" s="6" t="str">
        <f aca="false">IF(B149="","",ROW()-3)</f>
        <v/>
      </c>
      <c r="B149" s="7"/>
      <c r="C149" s="8"/>
      <c r="D149" s="9"/>
      <c r="E149" s="10"/>
      <c r="F149" s="9"/>
      <c r="G149" s="9"/>
    </row>
    <row r="150" customFormat="false" ht="15" hidden="false" customHeight="false" outlineLevel="0" collapsed="false">
      <c r="A150" s="6" t="str">
        <f aca="false">IF(B150="","",ROW()-3)</f>
        <v/>
      </c>
      <c r="B150" s="7"/>
      <c r="C150" s="8"/>
      <c r="D150" s="9"/>
      <c r="E150" s="10"/>
      <c r="F150" s="9"/>
      <c r="G150" s="9"/>
    </row>
    <row r="151" customFormat="false" ht="15" hidden="false" customHeight="false" outlineLevel="0" collapsed="false">
      <c r="A151" s="6" t="str">
        <f aca="false">IF(B151="","",ROW()-3)</f>
        <v/>
      </c>
      <c r="B151" s="7"/>
      <c r="C151" s="8"/>
      <c r="D151" s="9"/>
      <c r="E151" s="10"/>
      <c r="F151" s="9"/>
      <c r="G151" s="9"/>
    </row>
    <row r="152" customFormat="false" ht="15" hidden="false" customHeight="false" outlineLevel="0" collapsed="false">
      <c r="A152" s="6" t="str">
        <f aca="false">IF(B152="","",ROW()-3)</f>
        <v/>
      </c>
      <c r="B152" s="7"/>
      <c r="C152" s="8"/>
      <c r="D152" s="9"/>
      <c r="E152" s="10"/>
      <c r="F152" s="9"/>
      <c r="G152" s="9"/>
    </row>
    <row r="153" customFormat="false" ht="15" hidden="false" customHeight="false" outlineLevel="0" collapsed="false">
      <c r="A153" s="6" t="str">
        <f aca="false">IF(B153="","",ROW()-3)</f>
        <v/>
      </c>
      <c r="B153" s="7"/>
      <c r="C153" s="8"/>
      <c r="D153" s="9"/>
      <c r="E153" s="10"/>
      <c r="F153" s="9"/>
      <c r="G153" s="9"/>
    </row>
    <row r="154" customFormat="false" ht="15" hidden="false" customHeight="false" outlineLevel="0" collapsed="false">
      <c r="A154" s="6" t="str">
        <f aca="false">IF(B154="","",ROW()-3)</f>
        <v/>
      </c>
      <c r="B154" s="7"/>
      <c r="C154" s="8"/>
      <c r="D154" s="9"/>
      <c r="E154" s="10"/>
      <c r="F154" s="9"/>
      <c r="G154" s="9"/>
    </row>
    <row r="155" customFormat="false" ht="15" hidden="false" customHeight="false" outlineLevel="0" collapsed="false">
      <c r="A155" s="6" t="str">
        <f aca="false">IF(B155="","",ROW()-3)</f>
        <v/>
      </c>
      <c r="B155" s="7"/>
      <c r="C155" s="8"/>
      <c r="D155" s="9"/>
      <c r="E155" s="10"/>
      <c r="F155" s="9"/>
      <c r="G155" s="9"/>
    </row>
    <row r="156" customFormat="false" ht="15" hidden="false" customHeight="false" outlineLevel="0" collapsed="false">
      <c r="A156" s="6" t="str">
        <f aca="false">IF(B156="","",ROW()-3)</f>
        <v/>
      </c>
      <c r="B156" s="7"/>
      <c r="C156" s="8"/>
      <c r="D156" s="9"/>
      <c r="E156" s="10"/>
      <c r="F156" s="9"/>
      <c r="G156" s="9"/>
    </row>
    <row r="157" customFormat="false" ht="15" hidden="false" customHeight="false" outlineLevel="0" collapsed="false">
      <c r="A157" s="6" t="str">
        <f aca="false">IF(B157="","",ROW()-3)</f>
        <v/>
      </c>
      <c r="B157" s="7"/>
      <c r="C157" s="8"/>
      <c r="D157" s="9"/>
      <c r="E157" s="10"/>
      <c r="F157" s="9"/>
      <c r="G157" s="9"/>
    </row>
    <row r="158" customFormat="false" ht="15" hidden="false" customHeight="false" outlineLevel="0" collapsed="false">
      <c r="A158" s="6" t="str">
        <f aca="false">IF(B158="","",ROW()-3)</f>
        <v/>
      </c>
      <c r="B158" s="7"/>
      <c r="C158" s="8"/>
      <c r="D158" s="9"/>
      <c r="E158" s="10"/>
      <c r="F158" s="9"/>
      <c r="G158" s="9"/>
    </row>
    <row r="159" customFormat="false" ht="15" hidden="false" customHeight="false" outlineLevel="0" collapsed="false">
      <c r="A159" s="6" t="str">
        <f aca="false">IF(B159="","",ROW()-3)</f>
        <v/>
      </c>
      <c r="B159" s="7"/>
      <c r="C159" s="8"/>
      <c r="D159" s="9"/>
      <c r="E159" s="10"/>
      <c r="F159" s="9"/>
      <c r="G159" s="9"/>
    </row>
    <row r="160" customFormat="false" ht="15" hidden="false" customHeight="false" outlineLevel="0" collapsed="false">
      <c r="A160" s="6" t="str">
        <f aca="false">IF(B160="","",ROW()-3)</f>
        <v/>
      </c>
      <c r="B160" s="7"/>
      <c r="C160" s="8"/>
      <c r="D160" s="9"/>
      <c r="E160" s="10"/>
      <c r="F160" s="9"/>
      <c r="G160" s="9"/>
    </row>
    <row r="161" customFormat="false" ht="15" hidden="false" customHeight="false" outlineLevel="0" collapsed="false">
      <c r="A161" s="6" t="str">
        <f aca="false">IF(B161="","",ROW()-3)</f>
        <v/>
      </c>
      <c r="B161" s="7"/>
      <c r="C161" s="8"/>
      <c r="D161" s="9"/>
      <c r="E161" s="10"/>
      <c r="F161" s="9"/>
      <c r="G161" s="9"/>
    </row>
    <row r="162" customFormat="false" ht="15" hidden="false" customHeight="false" outlineLevel="0" collapsed="false">
      <c r="A162" s="6" t="str">
        <f aca="false">IF(B162="","",ROW()-3)</f>
        <v/>
      </c>
      <c r="B162" s="7"/>
      <c r="C162" s="8"/>
      <c r="D162" s="9"/>
      <c r="E162" s="10"/>
      <c r="F162" s="9"/>
      <c r="G162" s="9"/>
    </row>
    <row r="163" customFormat="false" ht="15" hidden="false" customHeight="false" outlineLevel="0" collapsed="false">
      <c r="A163" s="6" t="str">
        <f aca="false">IF(B163="","",ROW()-3)</f>
        <v/>
      </c>
      <c r="B163" s="7"/>
      <c r="C163" s="8"/>
      <c r="D163" s="9"/>
      <c r="E163" s="10"/>
      <c r="F163" s="9"/>
      <c r="G163" s="9"/>
    </row>
    <row r="164" customFormat="false" ht="15" hidden="false" customHeight="false" outlineLevel="0" collapsed="false">
      <c r="A164" s="6" t="str">
        <f aca="false">IF(B164="","",ROW()-3)</f>
        <v/>
      </c>
      <c r="B164" s="7"/>
      <c r="C164" s="8"/>
      <c r="D164" s="9"/>
      <c r="E164" s="10"/>
      <c r="F164" s="9"/>
      <c r="G164" s="9"/>
    </row>
    <row r="165" customFormat="false" ht="15" hidden="false" customHeight="false" outlineLevel="0" collapsed="false">
      <c r="A165" s="6" t="str">
        <f aca="false">IF(B165="","",ROW()-3)</f>
        <v/>
      </c>
      <c r="B165" s="7"/>
      <c r="C165" s="8"/>
      <c r="D165" s="9"/>
      <c r="E165" s="10"/>
      <c r="F165" s="9"/>
      <c r="G165" s="9"/>
    </row>
    <row r="166" customFormat="false" ht="15" hidden="false" customHeight="false" outlineLevel="0" collapsed="false">
      <c r="A166" s="6" t="str">
        <f aca="false">IF(B166="","",ROW()-3)</f>
        <v/>
      </c>
      <c r="B166" s="7"/>
      <c r="C166" s="8"/>
      <c r="D166" s="9"/>
      <c r="E166" s="10"/>
      <c r="F166" s="9"/>
      <c r="G166" s="9"/>
    </row>
    <row r="167" customFormat="false" ht="15" hidden="false" customHeight="false" outlineLevel="0" collapsed="false">
      <c r="A167" s="6" t="str">
        <f aca="false">IF(B167="","",ROW()-3)</f>
        <v/>
      </c>
      <c r="B167" s="7"/>
      <c r="C167" s="8"/>
      <c r="D167" s="9"/>
      <c r="E167" s="10"/>
      <c r="F167" s="9"/>
      <c r="G167" s="9"/>
    </row>
    <row r="168" customFormat="false" ht="15" hidden="false" customHeight="false" outlineLevel="0" collapsed="false">
      <c r="A168" s="6" t="str">
        <f aca="false">IF(B168="","",ROW()-3)</f>
        <v/>
      </c>
      <c r="B168" s="7"/>
      <c r="C168" s="8"/>
      <c r="D168" s="9"/>
      <c r="E168" s="10"/>
      <c r="F168" s="9"/>
      <c r="G168" s="9"/>
    </row>
    <row r="169" customFormat="false" ht="15" hidden="false" customHeight="false" outlineLevel="0" collapsed="false">
      <c r="A169" s="6" t="str">
        <f aca="false">IF(B169="","",ROW()-3)</f>
        <v/>
      </c>
      <c r="B169" s="7"/>
      <c r="C169" s="8"/>
      <c r="D169" s="9"/>
      <c r="E169" s="10"/>
      <c r="F169" s="9"/>
      <c r="G169" s="9"/>
    </row>
    <row r="170" customFormat="false" ht="15" hidden="false" customHeight="false" outlineLevel="0" collapsed="false">
      <c r="A170" s="6" t="str">
        <f aca="false">IF(B170="","",ROW()-3)</f>
        <v/>
      </c>
      <c r="B170" s="7"/>
      <c r="C170" s="8"/>
      <c r="D170" s="9"/>
      <c r="E170" s="10"/>
      <c r="F170" s="9"/>
      <c r="G170" s="9"/>
    </row>
    <row r="171" customFormat="false" ht="15" hidden="false" customHeight="false" outlineLevel="0" collapsed="false">
      <c r="A171" s="6" t="str">
        <f aca="false">IF(B171="","",ROW()-3)</f>
        <v/>
      </c>
      <c r="B171" s="7"/>
      <c r="C171" s="8"/>
      <c r="D171" s="9"/>
      <c r="E171" s="10"/>
      <c r="F171" s="9"/>
      <c r="G171" s="9"/>
    </row>
    <row r="172" customFormat="false" ht="15" hidden="false" customHeight="false" outlineLevel="0" collapsed="false">
      <c r="A172" s="6" t="str">
        <f aca="false">IF(B172="","",ROW()-3)</f>
        <v/>
      </c>
      <c r="B172" s="7"/>
      <c r="C172" s="8"/>
      <c r="D172" s="9"/>
      <c r="E172" s="10"/>
      <c r="F172" s="9"/>
      <c r="G172" s="9"/>
    </row>
    <row r="173" customFormat="false" ht="15" hidden="false" customHeight="false" outlineLevel="0" collapsed="false">
      <c r="A173" s="6" t="str">
        <f aca="false">IF(B173="","",ROW()-3)</f>
        <v/>
      </c>
      <c r="B173" s="7"/>
      <c r="C173" s="8"/>
      <c r="D173" s="9"/>
      <c r="E173" s="10"/>
      <c r="F173" s="9"/>
      <c r="G173" s="9"/>
    </row>
    <row r="174" customFormat="false" ht="15" hidden="false" customHeight="false" outlineLevel="0" collapsed="false">
      <c r="A174" s="6" t="str">
        <f aca="false">IF(B174="","",ROW()-3)</f>
        <v/>
      </c>
      <c r="B174" s="7"/>
      <c r="C174" s="8"/>
      <c r="D174" s="9"/>
      <c r="E174" s="10"/>
      <c r="F174" s="9"/>
      <c r="G174" s="9"/>
    </row>
    <row r="175" customFormat="false" ht="15" hidden="false" customHeight="false" outlineLevel="0" collapsed="false">
      <c r="A175" s="6" t="str">
        <f aca="false">IF(B175="","",ROW()-3)</f>
        <v/>
      </c>
      <c r="B175" s="7"/>
      <c r="C175" s="8"/>
      <c r="D175" s="9"/>
      <c r="E175" s="10"/>
      <c r="F175" s="9"/>
      <c r="G175" s="9"/>
    </row>
    <row r="176" customFormat="false" ht="15" hidden="false" customHeight="false" outlineLevel="0" collapsed="false">
      <c r="A176" s="6" t="str">
        <f aca="false">IF(B176="","",ROW()-3)</f>
        <v/>
      </c>
      <c r="B176" s="7"/>
      <c r="C176" s="8"/>
      <c r="D176" s="9"/>
      <c r="E176" s="10"/>
      <c r="F176" s="9"/>
      <c r="G176" s="9"/>
    </row>
    <row r="177" customFormat="false" ht="15" hidden="false" customHeight="false" outlineLevel="0" collapsed="false">
      <c r="A177" s="6" t="str">
        <f aca="false">IF(B177="","",ROW()-3)</f>
        <v/>
      </c>
      <c r="B177" s="7"/>
      <c r="C177" s="8"/>
      <c r="D177" s="9"/>
      <c r="E177" s="10"/>
      <c r="F177" s="9"/>
      <c r="G177" s="9"/>
    </row>
    <row r="178" customFormat="false" ht="15" hidden="false" customHeight="false" outlineLevel="0" collapsed="false">
      <c r="A178" s="6" t="str">
        <f aca="false">IF(B178="","",ROW()-3)</f>
        <v/>
      </c>
      <c r="B178" s="7"/>
      <c r="C178" s="8"/>
      <c r="D178" s="9"/>
      <c r="E178" s="10"/>
      <c r="F178" s="9"/>
      <c r="G178" s="9"/>
    </row>
    <row r="179" customFormat="false" ht="15" hidden="false" customHeight="false" outlineLevel="0" collapsed="false">
      <c r="A179" s="6" t="str">
        <f aca="false">IF(B179="","",ROW()-3)</f>
        <v/>
      </c>
      <c r="B179" s="7"/>
      <c r="C179" s="8"/>
      <c r="D179" s="9"/>
      <c r="E179" s="10"/>
      <c r="F179" s="9"/>
      <c r="G179" s="9"/>
    </row>
    <row r="180" customFormat="false" ht="15" hidden="false" customHeight="false" outlineLevel="0" collapsed="false">
      <c r="A180" s="6" t="str">
        <f aca="false">IF(B180="","",ROW()-3)</f>
        <v/>
      </c>
      <c r="B180" s="7"/>
      <c r="C180" s="8"/>
      <c r="D180" s="9"/>
      <c r="E180" s="10"/>
      <c r="F180" s="9"/>
      <c r="G180" s="9"/>
    </row>
    <row r="181" customFormat="false" ht="15" hidden="false" customHeight="false" outlineLevel="0" collapsed="false">
      <c r="A181" s="6" t="str">
        <f aca="false">IF(B181="","",ROW()-3)</f>
        <v/>
      </c>
      <c r="B181" s="7"/>
      <c r="C181" s="8"/>
      <c r="D181" s="9"/>
      <c r="E181" s="10"/>
      <c r="F181" s="9"/>
      <c r="G181" s="9"/>
    </row>
    <row r="182" customFormat="false" ht="15" hidden="false" customHeight="false" outlineLevel="0" collapsed="false">
      <c r="A182" s="6" t="str">
        <f aca="false">IF(B182="","",ROW()-3)</f>
        <v/>
      </c>
      <c r="B182" s="7"/>
      <c r="C182" s="8"/>
      <c r="D182" s="9"/>
      <c r="E182" s="10"/>
      <c r="F182" s="9"/>
      <c r="G182" s="9"/>
    </row>
    <row r="183" customFormat="false" ht="15" hidden="false" customHeight="false" outlineLevel="0" collapsed="false">
      <c r="A183" s="6" t="str">
        <f aca="false">IF(B183="","",ROW()-3)</f>
        <v/>
      </c>
      <c r="B183" s="7"/>
      <c r="C183" s="8"/>
      <c r="D183" s="9"/>
      <c r="E183" s="10"/>
      <c r="F183" s="9"/>
      <c r="G183" s="9"/>
    </row>
    <row r="184" customFormat="false" ht="15" hidden="false" customHeight="false" outlineLevel="0" collapsed="false">
      <c r="A184" s="6" t="str">
        <f aca="false">IF(B184="","",ROW()-3)</f>
        <v/>
      </c>
      <c r="B184" s="7"/>
      <c r="C184" s="8"/>
      <c r="D184" s="9"/>
      <c r="E184" s="10"/>
      <c r="F184" s="9"/>
      <c r="G184" s="9"/>
    </row>
    <row r="185" customFormat="false" ht="15" hidden="false" customHeight="false" outlineLevel="0" collapsed="false">
      <c r="A185" s="6" t="str">
        <f aca="false">IF(B185="","",ROW()-3)</f>
        <v/>
      </c>
      <c r="B185" s="7"/>
      <c r="C185" s="8"/>
      <c r="D185" s="9"/>
      <c r="E185" s="10"/>
      <c r="F185" s="9"/>
      <c r="G185" s="9"/>
    </row>
    <row r="186" customFormat="false" ht="15" hidden="false" customHeight="false" outlineLevel="0" collapsed="false">
      <c r="A186" s="6" t="str">
        <f aca="false">IF(B186="","",ROW()-3)</f>
        <v/>
      </c>
      <c r="B186" s="7"/>
      <c r="C186" s="8"/>
      <c r="D186" s="9"/>
      <c r="E186" s="10"/>
      <c r="F186" s="9"/>
      <c r="G186" s="9"/>
    </row>
    <row r="187" customFormat="false" ht="15" hidden="false" customHeight="false" outlineLevel="0" collapsed="false">
      <c r="A187" s="6" t="str">
        <f aca="false">IF(B187="","",ROW()-3)</f>
        <v/>
      </c>
      <c r="B187" s="7"/>
      <c r="C187" s="8"/>
      <c r="D187" s="9"/>
      <c r="E187" s="10"/>
      <c r="F187" s="9"/>
      <c r="G187" s="9"/>
    </row>
    <row r="188" customFormat="false" ht="15" hidden="false" customHeight="false" outlineLevel="0" collapsed="false">
      <c r="A188" s="6" t="str">
        <f aca="false">IF(B188="","",ROW()-3)</f>
        <v/>
      </c>
      <c r="B188" s="7"/>
      <c r="C188" s="8"/>
      <c r="D188" s="9"/>
      <c r="E188" s="10"/>
      <c r="F188" s="9"/>
      <c r="G188" s="9"/>
    </row>
    <row r="189" customFormat="false" ht="15" hidden="false" customHeight="false" outlineLevel="0" collapsed="false">
      <c r="A189" s="6" t="str">
        <f aca="false">IF(B189="","",ROW()-3)</f>
        <v/>
      </c>
      <c r="B189" s="7"/>
      <c r="C189" s="8"/>
      <c r="D189" s="9"/>
      <c r="E189" s="10"/>
      <c r="F189" s="9"/>
      <c r="G189" s="9"/>
    </row>
    <row r="190" customFormat="false" ht="15" hidden="false" customHeight="false" outlineLevel="0" collapsed="false">
      <c r="A190" s="6" t="str">
        <f aca="false">IF(B190="","",ROW()-3)</f>
        <v/>
      </c>
      <c r="B190" s="7"/>
      <c r="C190" s="8"/>
      <c r="D190" s="9"/>
      <c r="E190" s="10"/>
      <c r="F190" s="9"/>
      <c r="G190" s="9"/>
    </row>
    <row r="191" customFormat="false" ht="15" hidden="false" customHeight="false" outlineLevel="0" collapsed="false">
      <c r="A191" s="6" t="str">
        <f aca="false">IF(B191="","",ROW()-3)</f>
        <v/>
      </c>
      <c r="B191" s="7"/>
      <c r="C191" s="8"/>
      <c r="D191" s="9"/>
      <c r="E191" s="10"/>
      <c r="F191" s="9"/>
      <c r="G191" s="9"/>
    </row>
    <row r="192" customFormat="false" ht="15" hidden="false" customHeight="false" outlineLevel="0" collapsed="false">
      <c r="A192" s="6" t="str">
        <f aca="false">IF(B192="","",ROW()-3)</f>
        <v/>
      </c>
      <c r="B192" s="7"/>
      <c r="C192" s="8"/>
      <c r="D192" s="9"/>
      <c r="E192" s="10"/>
      <c r="F192" s="9"/>
      <c r="G192" s="9"/>
    </row>
    <row r="193" customFormat="false" ht="15" hidden="false" customHeight="false" outlineLevel="0" collapsed="false">
      <c r="A193" s="6" t="str">
        <f aca="false">IF(B193="","",ROW()-3)</f>
        <v/>
      </c>
      <c r="B193" s="7"/>
      <c r="C193" s="8"/>
      <c r="D193" s="9"/>
      <c r="E193" s="10"/>
      <c r="F193" s="9"/>
      <c r="G193" s="9"/>
    </row>
    <row r="194" customFormat="false" ht="15" hidden="false" customHeight="false" outlineLevel="0" collapsed="false">
      <c r="A194" s="6" t="str">
        <f aca="false">IF(B194="","",ROW()-3)</f>
        <v/>
      </c>
      <c r="B194" s="7"/>
      <c r="C194" s="8"/>
      <c r="D194" s="9"/>
      <c r="E194" s="10"/>
      <c r="F194" s="9"/>
      <c r="G194" s="9"/>
    </row>
    <row r="195" customFormat="false" ht="15" hidden="false" customHeight="false" outlineLevel="0" collapsed="false">
      <c r="A195" s="6" t="str">
        <f aca="false">IF(B195="","",ROW()-3)</f>
        <v/>
      </c>
      <c r="B195" s="7"/>
      <c r="C195" s="8"/>
      <c r="D195" s="9"/>
      <c r="E195" s="10"/>
      <c r="F195" s="9"/>
      <c r="G195" s="9"/>
    </row>
    <row r="196" customFormat="false" ht="15" hidden="false" customHeight="false" outlineLevel="0" collapsed="false">
      <c r="A196" s="6" t="str">
        <f aca="false">IF(B196="","",ROW()-3)</f>
        <v/>
      </c>
      <c r="B196" s="7"/>
      <c r="C196" s="8"/>
      <c r="D196" s="9"/>
      <c r="E196" s="10"/>
      <c r="F196" s="9"/>
      <c r="G196" s="9"/>
    </row>
    <row r="197" customFormat="false" ht="15" hidden="false" customHeight="false" outlineLevel="0" collapsed="false">
      <c r="A197" s="6" t="str">
        <f aca="false">IF(B197="","",ROW()-3)</f>
        <v/>
      </c>
      <c r="B197" s="7"/>
      <c r="C197" s="8"/>
      <c r="D197" s="9"/>
      <c r="E197" s="10"/>
      <c r="F197" s="9"/>
      <c r="G197" s="9"/>
    </row>
    <row r="198" customFormat="false" ht="15" hidden="false" customHeight="false" outlineLevel="0" collapsed="false">
      <c r="A198" s="6" t="str">
        <f aca="false">IF(B198="","",ROW()-3)</f>
        <v/>
      </c>
      <c r="B198" s="7"/>
      <c r="C198" s="8"/>
      <c r="D198" s="9"/>
      <c r="E198" s="10"/>
      <c r="F198" s="9"/>
      <c r="G198" s="9"/>
    </row>
    <row r="199" customFormat="false" ht="15" hidden="false" customHeight="false" outlineLevel="0" collapsed="false">
      <c r="A199" s="6" t="str">
        <f aca="false">IF(B199="","",ROW()-3)</f>
        <v/>
      </c>
      <c r="B199" s="7"/>
      <c r="C199" s="8"/>
      <c r="D199" s="9"/>
      <c r="E199" s="10"/>
      <c r="F199" s="9"/>
      <c r="G199" s="9"/>
    </row>
    <row r="200" customFormat="false" ht="15" hidden="false" customHeight="false" outlineLevel="0" collapsed="false">
      <c r="A200" s="6" t="str">
        <f aca="false">IF(B200="","",ROW()-3)</f>
        <v/>
      </c>
      <c r="B200" s="7"/>
      <c r="C200" s="8"/>
      <c r="D200" s="9"/>
      <c r="E200" s="10"/>
      <c r="F200" s="9"/>
      <c r="G200" s="9"/>
    </row>
    <row r="201" customFormat="false" ht="15" hidden="false" customHeight="false" outlineLevel="0" collapsed="false">
      <c r="A201" s="6" t="str">
        <f aca="false">IF(B201="","",ROW()-3)</f>
        <v/>
      </c>
      <c r="B201" s="7"/>
      <c r="C201" s="8"/>
      <c r="D201" s="9"/>
      <c r="E201" s="10"/>
      <c r="F201" s="9"/>
      <c r="G201" s="9"/>
    </row>
    <row r="202" customFormat="false" ht="15" hidden="false" customHeight="false" outlineLevel="0" collapsed="false">
      <c r="A202" s="6" t="str">
        <f aca="false">IF(B202="","",ROW()-3)</f>
        <v/>
      </c>
      <c r="B202" s="7"/>
      <c r="C202" s="8"/>
      <c r="D202" s="9"/>
      <c r="E202" s="10"/>
      <c r="F202" s="9"/>
      <c r="G202" s="9"/>
    </row>
    <row r="203" customFormat="false" ht="15" hidden="false" customHeight="false" outlineLevel="0" collapsed="false">
      <c r="A203" s="6" t="str">
        <f aca="false">IF(B203="","",ROW()-3)</f>
        <v/>
      </c>
      <c r="B203" s="7"/>
      <c r="C203" s="8"/>
      <c r="D203" s="9"/>
      <c r="E203" s="10"/>
      <c r="F203" s="9"/>
      <c r="G203" s="9"/>
    </row>
    <row r="204" customFormat="false" ht="15" hidden="false" customHeight="false" outlineLevel="0" collapsed="false">
      <c r="A204" s="6" t="str">
        <f aca="false">IF(B204="","",ROW()-3)</f>
        <v/>
      </c>
      <c r="B204" s="7"/>
      <c r="C204" s="8"/>
      <c r="D204" s="9"/>
      <c r="E204" s="10"/>
      <c r="F204" s="9"/>
      <c r="G204" s="9"/>
    </row>
    <row r="205" customFormat="false" ht="15" hidden="false" customHeight="false" outlineLevel="0" collapsed="false">
      <c r="A205" s="6" t="str">
        <f aca="false">IF(B205="","",ROW()-3)</f>
        <v/>
      </c>
      <c r="B205" s="7"/>
      <c r="C205" s="8"/>
      <c r="D205" s="9"/>
      <c r="E205" s="10"/>
      <c r="F205" s="9"/>
      <c r="G205" s="9"/>
    </row>
    <row r="206" customFormat="false" ht="15" hidden="false" customHeight="false" outlineLevel="0" collapsed="false">
      <c r="A206" s="6" t="str">
        <f aca="false">IF(B206="","",ROW()-3)</f>
        <v/>
      </c>
      <c r="B206" s="7"/>
      <c r="C206" s="8"/>
      <c r="D206" s="9"/>
      <c r="E206" s="10"/>
      <c r="F206" s="9"/>
      <c r="G206" s="9"/>
    </row>
    <row r="207" customFormat="false" ht="15" hidden="false" customHeight="false" outlineLevel="0" collapsed="false">
      <c r="A207" s="6" t="str">
        <f aca="false">IF(B207="","",ROW()-3)</f>
        <v/>
      </c>
      <c r="B207" s="7"/>
      <c r="C207" s="8"/>
      <c r="D207" s="9"/>
      <c r="E207" s="10"/>
      <c r="F207" s="9"/>
      <c r="G207" s="9"/>
    </row>
    <row r="208" customFormat="false" ht="15" hidden="false" customHeight="false" outlineLevel="0" collapsed="false">
      <c r="A208" s="6" t="str">
        <f aca="false">IF(B208="","",ROW()-3)</f>
        <v/>
      </c>
      <c r="B208" s="7"/>
      <c r="C208" s="8"/>
      <c r="D208" s="9"/>
      <c r="E208" s="10"/>
      <c r="F208" s="9"/>
      <c r="G208" s="9"/>
    </row>
    <row r="209" customFormat="false" ht="15" hidden="false" customHeight="false" outlineLevel="0" collapsed="false">
      <c r="A209" s="6" t="str">
        <f aca="false">IF(B209="","",ROW()-3)</f>
        <v/>
      </c>
      <c r="B209" s="7"/>
      <c r="C209" s="8"/>
      <c r="D209" s="9"/>
      <c r="E209" s="10"/>
      <c r="F209" s="9"/>
      <c r="G209" s="9"/>
    </row>
    <row r="210" customFormat="false" ht="15" hidden="false" customHeight="false" outlineLevel="0" collapsed="false">
      <c r="A210" s="6" t="str">
        <f aca="false">IF(B210="","",ROW()-3)</f>
        <v/>
      </c>
      <c r="B210" s="7"/>
      <c r="C210" s="8"/>
      <c r="D210" s="9"/>
      <c r="E210" s="10"/>
      <c r="F210" s="9"/>
      <c r="G210" s="9"/>
    </row>
    <row r="211" customFormat="false" ht="15" hidden="false" customHeight="false" outlineLevel="0" collapsed="false">
      <c r="A211" s="6" t="str">
        <f aca="false">IF(B211="","",ROW()-3)</f>
        <v/>
      </c>
      <c r="B211" s="7"/>
      <c r="C211" s="8"/>
      <c r="D211" s="9"/>
      <c r="E211" s="10"/>
      <c r="F211" s="9"/>
      <c r="G211" s="9"/>
    </row>
    <row r="212" customFormat="false" ht="15" hidden="false" customHeight="false" outlineLevel="0" collapsed="false">
      <c r="A212" s="6" t="str">
        <f aca="false">IF(B212="","",ROW()-3)</f>
        <v/>
      </c>
      <c r="B212" s="7"/>
      <c r="C212" s="8"/>
      <c r="D212" s="9"/>
      <c r="E212" s="10"/>
      <c r="F212" s="9"/>
      <c r="G212" s="9"/>
    </row>
    <row r="213" customFormat="false" ht="15" hidden="false" customHeight="false" outlineLevel="0" collapsed="false">
      <c r="A213" s="6" t="str">
        <f aca="false">IF(B213="","",ROW()-3)</f>
        <v/>
      </c>
      <c r="B213" s="7"/>
      <c r="C213" s="8"/>
      <c r="D213" s="9"/>
      <c r="E213" s="10"/>
      <c r="F213" s="9"/>
      <c r="G213" s="9"/>
    </row>
    <row r="214" customFormat="false" ht="15" hidden="false" customHeight="false" outlineLevel="0" collapsed="false">
      <c r="A214" s="6" t="str">
        <f aca="false">IF(B214="","",ROW()-3)</f>
        <v/>
      </c>
      <c r="B214" s="7"/>
      <c r="C214" s="8"/>
      <c r="D214" s="9"/>
      <c r="E214" s="10"/>
      <c r="F214" s="9"/>
      <c r="G214" s="9"/>
    </row>
    <row r="215" customFormat="false" ht="15" hidden="false" customHeight="false" outlineLevel="0" collapsed="false">
      <c r="A215" s="6" t="str">
        <f aca="false">IF(B215="","",ROW()-3)</f>
        <v/>
      </c>
      <c r="B215" s="7"/>
      <c r="C215" s="8"/>
      <c r="D215" s="9"/>
      <c r="E215" s="10"/>
      <c r="F215" s="9"/>
      <c r="G215" s="9"/>
    </row>
    <row r="216" customFormat="false" ht="15" hidden="false" customHeight="false" outlineLevel="0" collapsed="false">
      <c r="A216" s="6" t="str">
        <f aca="false">IF(B216="","",ROW()-3)</f>
        <v/>
      </c>
      <c r="B216" s="7"/>
      <c r="C216" s="8"/>
      <c r="D216" s="9"/>
      <c r="E216" s="10"/>
      <c r="F216" s="9"/>
      <c r="G216" s="9"/>
    </row>
    <row r="217" customFormat="false" ht="15" hidden="false" customHeight="false" outlineLevel="0" collapsed="false">
      <c r="A217" s="6" t="str">
        <f aca="false">IF(B217="","",ROW()-3)</f>
        <v/>
      </c>
      <c r="B217" s="7"/>
      <c r="C217" s="8"/>
      <c r="D217" s="9"/>
      <c r="E217" s="10"/>
      <c r="F217" s="9"/>
      <c r="G217" s="9"/>
    </row>
    <row r="218" customFormat="false" ht="15" hidden="false" customHeight="false" outlineLevel="0" collapsed="false">
      <c r="A218" s="6" t="str">
        <f aca="false">IF(B218="","",ROW()-3)</f>
        <v/>
      </c>
      <c r="B218" s="7"/>
      <c r="C218" s="8"/>
      <c r="D218" s="9"/>
      <c r="E218" s="10"/>
      <c r="F218" s="9"/>
      <c r="G218" s="9"/>
    </row>
    <row r="219" customFormat="false" ht="15" hidden="false" customHeight="false" outlineLevel="0" collapsed="false">
      <c r="A219" s="6" t="str">
        <f aca="false">IF(B219="","",ROW()-3)</f>
        <v/>
      </c>
      <c r="B219" s="7"/>
      <c r="C219" s="8"/>
      <c r="D219" s="9"/>
      <c r="E219" s="10"/>
      <c r="F219" s="9"/>
      <c r="G219" s="9"/>
    </row>
    <row r="220" customFormat="false" ht="15" hidden="false" customHeight="false" outlineLevel="0" collapsed="false">
      <c r="A220" s="6" t="str">
        <f aca="false">IF(B220="","",ROW()-3)</f>
        <v/>
      </c>
      <c r="B220" s="7"/>
      <c r="C220" s="8"/>
      <c r="D220" s="9"/>
      <c r="E220" s="10"/>
      <c r="F220" s="9"/>
      <c r="G220" s="9"/>
    </row>
    <row r="221" customFormat="false" ht="15" hidden="false" customHeight="false" outlineLevel="0" collapsed="false">
      <c r="A221" s="6" t="str">
        <f aca="false">IF(B221="","",ROW()-3)</f>
        <v/>
      </c>
      <c r="B221" s="7"/>
      <c r="C221" s="8"/>
      <c r="D221" s="9"/>
      <c r="E221" s="10"/>
      <c r="F221" s="9"/>
      <c r="G221" s="9"/>
    </row>
    <row r="222" customFormat="false" ht="15" hidden="false" customHeight="false" outlineLevel="0" collapsed="false">
      <c r="A222" s="6" t="str">
        <f aca="false">IF(B222="","",ROW()-3)</f>
        <v/>
      </c>
      <c r="B222" s="7"/>
      <c r="C222" s="8"/>
      <c r="D222" s="9"/>
      <c r="E222" s="10"/>
      <c r="F222" s="9"/>
      <c r="G222" s="9"/>
    </row>
    <row r="223" customFormat="false" ht="15" hidden="false" customHeight="false" outlineLevel="0" collapsed="false">
      <c r="A223" s="6" t="str">
        <f aca="false">IF(B223="","",ROW()-3)</f>
        <v/>
      </c>
      <c r="B223" s="7"/>
      <c r="C223" s="8"/>
      <c r="D223" s="9"/>
      <c r="E223" s="10"/>
      <c r="F223" s="9"/>
      <c r="G223" s="9"/>
    </row>
    <row r="224" customFormat="false" ht="15" hidden="false" customHeight="false" outlineLevel="0" collapsed="false">
      <c r="A224" s="6" t="str">
        <f aca="false">IF(B224="","",ROW()-3)</f>
        <v/>
      </c>
      <c r="B224" s="7"/>
      <c r="C224" s="8"/>
      <c r="D224" s="9"/>
      <c r="E224" s="10"/>
      <c r="F224" s="9"/>
      <c r="G224" s="9"/>
    </row>
    <row r="225" customFormat="false" ht="15" hidden="false" customHeight="false" outlineLevel="0" collapsed="false">
      <c r="A225" s="6" t="str">
        <f aca="false">IF(B225="","",ROW()-3)</f>
        <v/>
      </c>
      <c r="B225" s="7"/>
      <c r="C225" s="8"/>
      <c r="D225" s="9"/>
      <c r="E225" s="10"/>
      <c r="F225" s="9"/>
      <c r="G225" s="9"/>
    </row>
    <row r="226" customFormat="false" ht="15" hidden="false" customHeight="false" outlineLevel="0" collapsed="false">
      <c r="A226" s="6" t="str">
        <f aca="false">IF(B226="","",ROW()-3)</f>
        <v/>
      </c>
      <c r="B226" s="7"/>
      <c r="C226" s="8"/>
      <c r="D226" s="9"/>
      <c r="E226" s="10"/>
      <c r="F226" s="9"/>
      <c r="G226" s="9"/>
    </row>
    <row r="227" customFormat="false" ht="15" hidden="false" customHeight="false" outlineLevel="0" collapsed="false">
      <c r="A227" s="6" t="str">
        <f aca="false">IF(B227="","",ROW()-3)</f>
        <v/>
      </c>
      <c r="B227" s="7"/>
      <c r="C227" s="8"/>
      <c r="D227" s="9"/>
      <c r="E227" s="10"/>
      <c r="F227" s="9"/>
      <c r="G227" s="9"/>
    </row>
    <row r="228" customFormat="false" ht="15" hidden="false" customHeight="false" outlineLevel="0" collapsed="false">
      <c r="A228" s="6" t="str">
        <f aca="false">IF(B228="","",ROW()-3)</f>
        <v/>
      </c>
      <c r="B228" s="7"/>
      <c r="C228" s="8"/>
      <c r="D228" s="9"/>
      <c r="E228" s="10"/>
      <c r="F228" s="9"/>
      <c r="G228" s="9"/>
    </row>
    <row r="229" customFormat="false" ht="15" hidden="false" customHeight="false" outlineLevel="0" collapsed="false">
      <c r="A229" s="6" t="str">
        <f aca="false">IF(B229="","",ROW()-3)</f>
        <v/>
      </c>
      <c r="B229" s="7"/>
      <c r="C229" s="8"/>
      <c r="D229" s="9"/>
      <c r="E229" s="10"/>
      <c r="F229" s="9"/>
      <c r="G229" s="9"/>
    </row>
    <row r="230" customFormat="false" ht="15" hidden="false" customHeight="false" outlineLevel="0" collapsed="false">
      <c r="A230" s="6" t="str">
        <f aca="false">IF(B230="","",ROW()-3)</f>
        <v/>
      </c>
      <c r="B230" s="7"/>
      <c r="C230" s="8"/>
      <c r="D230" s="9"/>
      <c r="E230" s="10"/>
      <c r="F230" s="9"/>
      <c r="G230" s="9"/>
    </row>
    <row r="231" customFormat="false" ht="15" hidden="false" customHeight="false" outlineLevel="0" collapsed="false">
      <c r="A231" s="6" t="str">
        <f aca="false">IF(B231="","",ROW()-3)</f>
        <v/>
      </c>
      <c r="B231" s="7"/>
      <c r="C231" s="8"/>
      <c r="D231" s="9"/>
      <c r="E231" s="10"/>
      <c r="F231" s="9"/>
      <c r="G231" s="9"/>
    </row>
    <row r="232" customFormat="false" ht="15" hidden="false" customHeight="false" outlineLevel="0" collapsed="false">
      <c r="A232" s="6" t="str">
        <f aca="false">IF(B232="","",ROW()-3)</f>
        <v/>
      </c>
      <c r="B232" s="7"/>
      <c r="C232" s="8"/>
      <c r="D232" s="9"/>
      <c r="E232" s="10"/>
      <c r="F232" s="9"/>
      <c r="G232" s="9"/>
    </row>
    <row r="233" customFormat="false" ht="15" hidden="false" customHeight="false" outlineLevel="0" collapsed="false">
      <c r="A233" s="6" t="str">
        <f aca="false">IF(B233="","",ROW()-3)</f>
        <v/>
      </c>
      <c r="B233" s="7"/>
      <c r="C233" s="8"/>
      <c r="D233" s="9"/>
      <c r="E233" s="10"/>
      <c r="F233" s="9"/>
      <c r="G233" s="9"/>
    </row>
    <row r="234" customFormat="false" ht="15" hidden="false" customHeight="false" outlineLevel="0" collapsed="false">
      <c r="A234" s="6" t="str">
        <f aca="false">IF(B234="","",ROW()-3)</f>
        <v/>
      </c>
      <c r="B234" s="7"/>
      <c r="C234" s="8"/>
      <c r="D234" s="9"/>
      <c r="E234" s="10"/>
      <c r="F234" s="9"/>
      <c r="G234" s="9"/>
    </row>
    <row r="235" customFormat="false" ht="15" hidden="false" customHeight="false" outlineLevel="0" collapsed="false">
      <c r="A235" s="6" t="str">
        <f aca="false">IF(B235="","",ROW()-3)</f>
        <v/>
      </c>
      <c r="B235" s="7"/>
      <c r="C235" s="8"/>
      <c r="D235" s="9"/>
      <c r="E235" s="10"/>
      <c r="F235" s="9"/>
      <c r="G235" s="9"/>
    </row>
    <row r="236" customFormat="false" ht="15" hidden="false" customHeight="false" outlineLevel="0" collapsed="false">
      <c r="A236" s="6" t="str">
        <f aca="false">IF(B236="","",ROW()-3)</f>
        <v/>
      </c>
      <c r="B236" s="7"/>
      <c r="C236" s="8"/>
      <c r="D236" s="9"/>
      <c r="E236" s="10"/>
      <c r="F236" s="9"/>
      <c r="G236" s="9"/>
    </row>
    <row r="237" customFormat="false" ht="15" hidden="false" customHeight="false" outlineLevel="0" collapsed="false">
      <c r="A237" s="6" t="str">
        <f aca="false">IF(B237="","",ROW()-3)</f>
        <v/>
      </c>
      <c r="B237" s="7"/>
      <c r="C237" s="8"/>
      <c r="D237" s="9"/>
      <c r="E237" s="10"/>
      <c r="F237" s="9"/>
      <c r="G237" s="9"/>
    </row>
    <row r="238" customFormat="false" ht="15" hidden="false" customHeight="false" outlineLevel="0" collapsed="false">
      <c r="A238" s="6" t="str">
        <f aca="false">IF(B238="","",ROW()-3)</f>
        <v/>
      </c>
      <c r="B238" s="7"/>
      <c r="C238" s="8"/>
      <c r="D238" s="9"/>
      <c r="E238" s="10"/>
      <c r="F238" s="9"/>
      <c r="G238" s="9"/>
    </row>
    <row r="239" customFormat="false" ht="15" hidden="false" customHeight="false" outlineLevel="0" collapsed="false">
      <c r="A239" s="6" t="str">
        <f aca="false">IF(B239="","",ROW()-3)</f>
        <v/>
      </c>
      <c r="B239" s="7"/>
      <c r="C239" s="8"/>
      <c r="D239" s="9"/>
      <c r="E239" s="10"/>
      <c r="F239" s="9"/>
      <c r="G239" s="9"/>
    </row>
    <row r="240" customFormat="false" ht="15" hidden="false" customHeight="false" outlineLevel="0" collapsed="false">
      <c r="A240" s="6" t="str">
        <f aca="false">IF(B240="","",ROW()-3)</f>
        <v/>
      </c>
      <c r="B240" s="7"/>
      <c r="C240" s="8"/>
      <c r="D240" s="9"/>
      <c r="E240" s="10"/>
      <c r="F240" s="9"/>
      <c r="G240" s="9"/>
    </row>
    <row r="241" customFormat="false" ht="15" hidden="false" customHeight="false" outlineLevel="0" collapsed="false">
      <c r="A241" s="6" t="str">
        <f aca="false">IF(B241="","",ROW()-3)</f>
        <v/>
      </c>
      <c r="B241" s="7"/>
      <c r="C241" s="8"/>
      <c r="D241" s="9"/>
      <c r="E241" s="10"/>
      <c r="F241" s="9"/>
      <c r="G241" s="9"/>
    </row>
    <row r="242" customFormat="false" ht="15" hidden="false" customHeight="false" outlineLevel="0" collapsed="false">
      <c r="A242" s="6" t="str">
        <f aca="false">IF(B242="","",ROW()-3)</f>
        <v/>
      </c>
      <c r="B242" s="7"/>
      <c r="C242" s="8"/>
      <c r="D242" s="9"/>
      <c r="E242" s="10"/>
      <c r="F242" s="9"/>
      <c r="G242" s="9"/>
    </row>
    <row r="243" customFormat="false" ht="15" hidden="false" customHeight="false" outlineLevel="0" collapsed="false">
      <c r="A243" s="6" t="str">
        <f aca="false">IF(B243="","",ROW()-3)</f>
        <v/>
      </c>
      <c r="B243" s="7"/>
      <c r="C243" s="8"/>
      <c r="D243" s="9"/>
      <c r="E243" s="10"/>
      <c r="F243" s="9"/>
      <c r="G243" s="9"/>
    </row>
    <row r="244" customFormat="false" ht="15" hidden="false" customHeight="false" outlineLevel="0" collapsed="false">
      <c r="A244" s="6" t="str">
        <f aca="false">IF(B244="","",ROW()-3)</f>
        <v/>
      </c>
      <c r="B244" s="7"/>
      <c r="C244" s="8"/>
      <c r="D244" s="9"/>
      <c r="E244" s="10"/>
      <c r="F244" s="9"/>
      <c r="G244" s="9"/>
    </row>
    <row r="245" customFormat="false" ht="15" hidden="false" customHeight="false" outlineLevel="0" collapsed="false">
      <c r="A245" s="6" t="str">
        <f aca="false">IF(B245="","",ROW()-3)</f>
        <v/>
      </c>
      <c r="B245" s="7"/>
      <c r="C245" s="8"/>
      <c r="D245" s="9"/>
      <c r="E245" s="10"/>
      <c r="F245" s="9"/>
      <c r="G245" s="9"/>
    </row>
    <row r="246" customFormat="false" ht="15" hidden="false" customHeight="false" outlineLevel="0" collapsed="false">
      <c r="A246" s="6" t="str">
        <f aca="false">IF(B246="","",ROW()-3)</f>
        <v/>
      </c>
      <c r="B246" s="7"/>
      <c r="C246" s="8"/>
      <c r="D246" s="9"/>
      <c r="E246" s="10"/>
      <c r="F246" s="9"/>
      <c r="G246" s="9"/>
    </row>
    <row r="247" customFormat="false" ht="15" hidden="false" customHeight="false" outlineLevel="0" collapsed="false">
      <c r="A247" s="6" t="str">
        <f aca="false">IF(B247="","",ROW()-3)</f>
        <v/>
      </c>
      <c r="B247" s="7"/>
      <c r="C247" s="8"/>
      <c r="D247" s="9"/>
      <c r="E247" s="10"/>
      <c r="F247" s="9"/>
      <c r="G247" s="9"/>
    </row>
    <row r="248" customFormat="false" ht="15" hidden="false" customHeight="false" outlineLevel="0" collapsed="false">
      <c r="A248" s="6" t="str">
        <f aca="false">IF(B248="","",ROW()-3)</f>
        <v/>
      </c>
      <c r="B248" s="7"/>
      <c r="C248" s="8"/>
      <c r="D248" s="9"/>
      <c r="E248" s="10"/>
      <c r="F248" s="9"/>
      <c r="G248" s="9"/>
    </row>
    <row r="249" customFormat="false" ht="15" hidden="false" customHeight="false" outlineLevel="0" collapsed="false">
      <c r="A249" s="6" t="str">
        <f aca="false">IF(B249="","",ROW()-3)</f>
        <v/>
      </c>
      <c r="B249" s="7"/>
      <c r="C249" s="8"/>
      <c r="D249" s="9"/>
      <c r="E249" s="10"/>
      <c r="F249" s="9"/>
      <c r="G249" s="9"/>
    </row>
    <row r="250" customFormat="false" ht="15" hidden="false" customHeight="false" outlineLevel="0" collapsed="false">
      <c r="A250" s="6" t="str">
        <f aca="false">IF(B250="","",ROW()-3)</f>
        <v/>
      </c>
      <c r="B250" s="7"/>
      <c r="C250" s="8"/>
      <c r="D250" s="9"/>
      <c r="E250" s="10"/>
      <c r="F250" s="9"/>
      <c r="G250" s="9"/>
    </row>
    <row r="251" customFormat="false" ht="15" hidden="false" customHeight="false" outlineLevel="0" collapsed="false">
      <c r="A251" s="6" t="str">
        <f aca="false">IF(B251="","",ROW()-3)</f>
        <v/>
      </c>
      <c r="B251" s="7"/>
      <c r="C251" s="8"/>
      <c r="D251" s="9"/>
      <c r="E251" s="10"/>
      <c r="F251" s="9"/>
      <c r="G251" s="9"/>
    </row>
    <row r="252" customFormat="false" ht="15" hidden="false" customHeight="false" outlineLevel="0" collapsed="false">
      <c r="A252" s="6" t="str">
        <f aca="false">IF(B252="","",ROW()-3)</f>
        <v/>
      </c>
      <c r="B252" s="7"/>
      <c r="C252" s="8"/>
      <c r="D252" s="9"/>
      <c r="E252" s="10"/>
      <c r="F252" s="9"/>
      <c r="G252" s="9"/>
    </row>
    <row r="253" customFormat="false" ht="15" hidden="false" customHeight="false" outlineLevel="0" collapsed="false">
      <c r="A253" s="6" t="str">
        <f aca="false">IF(B253="","",ROW()-3)</f>
        <v/>
      </c>
      <c r="B253" s="7"/>
      <c r="C253" s="8"/>
      <c r="D253" s="9"/>
      <c r="E253" s="10"/>
      <c r="F253" s="9"/>
      <c r="G253" s="9"/>
    </row>
    <row r="254" customFormat="false" ht="15" hidden="false" customHeight="false" outlineLevel="0" collapsed="false">
      <c r="A254" s="6" t="str">
        <f aca="false">IF(B254="","",ROW()-3)</f>
        <v/>
      </c>
      <c r="B254" s="7"/>
      <c r="C254" s="8"/>
      <c r="D254" s="9"/>
      <c r="E254" s="10"/>
      <c r="F254" s="9"/>
      <c r="G254" s="9"/>
    </row>
    <row r="255" customFormat="false" ht="15" hidden="false" customHeight="false" outlineLevel="0" collapsed="false">
      <c r="A255" s="6" t="str">
        <f aca="false">IF(B255="","",ROW()-3)</f>
        <v/>
      </c>
      <c r="B255" s="7"/>
      <c r="C255" s="8"/>
      <c r="D255" s="9"/>
      <c r="E255" s="10"/>
      <c r="F255" s="9"/>
      <c r="G255" s="9"/>
    </row>
    <row r="256" customFormat="false" ht="15" hidden="false" customHeight="false" outlineLevel="0" collapsed="false">
      <c r="A256" s="6" t="str">
        <f aca="false">IF(B256="","",ROW()-3)</f>
        <v/>
      </c>
      <c r="B256" s="7"/>
      <c r="C256" s="8"/>
      <c r="D256" s="9"/>
      <c r="E256" s="10"/>
      <c r="F256" s="9"/>
      <c r="G256" s="9"/>
    </row>
    <row r="257" customFormat="false" ht="15" hidden="false" customHeight="false" outlineLevel="0" collapsed="false">
      <c r="A257" s="6" t="str">
        <f aca="false">IF(B257="","",ROW()-3)</f>
        <v/>
      </c>
      <c r="B257" s="7"/>
      <c r="C257" s="8"/>
      <c r="D257" s="9"/>
      <c r="E257" s="10"/>
      <c r="F257" s="9"/>
      <c r="G257" s="9"/>
    </row>
    <row r="258" customFormat="false" ht="15" hidden="false" customHeight="false" outlineLevel="0" collapsed="false">
      <c r="A258" s="6" t="str">
        <f aca="false">IF(B258="","",ROW()-3)</f>
        <v/>
      </c>
      <c r="B258" s="7"/>
      <c r="C258" s="8"/>
      <c r="D258" s="9"/>
      <c r="E258" s="10"/>
      <c r="F258" s="9"/>
      <c r="G258" s="9"/>
    </row>
    <row r="259" customFormat="false" ht="15" hidden="false" customHeight="false" outlineLevel="0" collapsed="false">
      <c r="A259" s="6" t="str">
        <f aca="false">IF(B259="","",ROW()-3)</f>
        <v/>
      </c>
      <c r="B259" s="7"/>
      <c r="C259" s="8"/>
      <c r="D259" s="9"/>
      <c r="E259" s="10"/>
      <c r="F259" s="9"/>
      <c r="G259" s="9"/>
    </row>
    <row r="260" customFormat="false" ht="15" hidden="false" customHeight="false" outlineLevel="0" collapsed="false">
      <c r="A260" s="6" t="str">
        <f aca="false">IF(B260="","",ROW()-3)</f>
        <v/>
      </c>
      <c r="B260" s="7"/>
      <c r="C260" s="8"/>
      <c r="D260" s="9"/>
      <c r="E260" s="10"/>
      <c r="F260" s="9"/>
      <c r="G260" s="9"/>
    </row>
    <row r="261" customFormat="false" ht="15" hidden="false" customHeight="false" outlineLevel="0" collapsed="false">
      <c r="A261" s="6" t="str">
        <f aca="false">IF(B261="","",ROW()-3)</f>
        <v/>
      </c>
      <c r="B261" s="7"/>
      <c r="C261" s="8"/>
      <c r="D261" s="9"/>
      <c r="E261" s="10"/>
      <c r="F261" s="9"/>
      <c r="G261" s="9"/>
    </row>
    <row r="262" customFormat="false" ht="15" hidden="false" customHeight="false" outlineLevel="0" collapsed="false">
      <c r="A262" s="6" t="str">
        <f aca="false">IF(B262="","",ROW()-3)</f>
        <v/>
      </c>
      <c r="B262" s="7"/>
      <c r="C262" s="8"/>
      <c r="D262" s="9"/>
      <c r="E262" s="10"/>
      <c r="F262" s="9"/>
      <c r="G262" s="9"/>
    </row>
    <row r="263" customFormat="false" ht="15" hidden="false" customHeight="false" outlineLevel="0" collapsed="false">
      <c r="A263" s="6" t="str">
        <f aca="false">IF(B263="","",ROW()-3)</f>
        <v/>
      </c>
      <c r="B263" s="7"/>
      <c r="C263" s="8"/>
      <c r="D263" s="9"/>
      <c r="E263" s="10"/>
      <c r="F263" s="9"/>
      <c r="G263" s="9"/>
    </row>
    <row r="264" customFormat="false" ht="15" hidden="false" customHeight="false" outlineLevel="0" collapsed="false">
      <c r="A264" s="6" t="str">
        <f aca="false">IF(B264="","",ROW()-3)</f>
        <v/>
      </c>
      <c r="B264" s="7"/>
      <c r="C264" s="8"/>
      <c r="D264" s="9"/>
      <c r="E264" s="10"/>
      <c r="F264" s="9"/>
      <c r="G264" s="9"/>
    </row>
    <row r="265" customFormat="false" ht="15" hidden="false" customHeight="false" outlineLevel="0" collapsed="false">
      <c r="A265" s="6" t="str">
        <f aca="false">IF(B265="","",ROW()-3)</f>
        <v/>
      </c>
      <c r="B265" s="7"/>
      <c r="C265" s="8"/>
      <c r="D265" s="9"/>
      <c r="E265" s="10"/>
      <c r="F265" s="9"/>
      <c r="G265" s="9"/>
    </row>
    <row r="266" customFormat="false" ht="15" hidden="false" customHeight="false" outlineLevel="0" collapsed="false">
      <c r="A266" s="6" t="str">
        <f aca="false">IF(B266="","",ROW()-3)</f>
        <v/>
      </c>
      <c r="B266" s="7"/>
      <c r="C266" s="8"/>
      <c r="D266" s="9"/>
      <c r="E266" s="10"/>
      <c r="F266" s="9"/>
      <c r="G266" s="9"/>
    </row>
    <row r="267" customFormat="false" ht="15" hidden="false" customHeight="false" outlineLevel="0" collapsed="false">
      <c r="A267" s="6" t="str">
        <f aca="false">IF(B267="","",ROW()-3)</f>
        <v/>
      </c>
      <c r="B267" s="7"/>
      <c r="C267" s="8"/>
      <c r="D267" s="9"/>
      <c r="E267" s="10"/>
      <c r="F267" s="9"/>
      <c r="G267" s="9"/>
    </row>
    <row r="268" customFormat="false" ht="15" hidden="false" customHeight="false" outlineLevel="0" collapsed="false">
      <c r="A268" s="6" t="str">
        <f aca="false">IF(B268="","",ROW()-3)</f>
        <v/>
      </c>
      <c r="B268" s="7"/>
      <c r="C268" s="8"/>
      <c r="D268" s="9"/>
      <c r="E268" s="10"/>
      <c r="F268" s="9"/>
      <c r="G268" s="9"/>
    </row>
    <row r="269" customFormat="false" ht="15" hidden="false" customHeight="false" outlineLevel="0" collapsed="false">
      <c r="A269" s="6" t="str">
        <f aca="false">IF(B269="","",ROW()-3)</f>
        <v/>
      </c>
      <c r="B269" s="7"/>
      <c r="C269" s="8"/>
      <c r="D269" s="9"/>
      <c r="E269" s="10"/>
      <c r="F269" s="9"/>
      <c r="G269" s="9"/>
    </row>
    <row r="270" customFormat="false" ht="15" hidden="false" customHeight="false" outlineLevel="0" collapsed="false">
      <c r="A270" s="6" t="str">
        <f aca="false">IF(B270="","",ROW()-3)</f>
        <v/>
      </c>
      <c r="B270" s="7"/>
      <c r="C270" s="8"/>
      <c r="D270" s="9"/>
      <c r="E270" s="10"/>
      <c r="F270" s="9"/>
      <c r="G270" s="9"/>
    </row>
    <row r="271" customFormat="false" ht="15" hidden="false" customHeight="false" outlineLevel="0" collapsed="false">
      <c r="A271" s="6" t="str">
        <f aca="false">IF(B271="","",ROW()-3)</f>
        <v/>
      </c>
      <c r="B271" s="7"/>
      <c r="C271" s="8"/>
      <c r="D271" s="9"/>
      <c r="E271" s="10"/>
      <c r="F271" s="9"/>
      <c r="G271" s="9"/>
    </row>
    <row r="272" customFormat="false" ht="15" hidden="false" customHeight="false" outlineLevel="0" collapsed="false">
      <c r="A272" s="6" t="str">
        <f aca="false">IF(B272="","",ROW()-3)</f>
        <v/>
      </c>
      <c r="B272" s="7"/>
      <c r="C272" s="8"/>
      <c r="D272" s="9"/>
      <c r="E272" s="10"/>
      <c r="F272" s="9"/>
      <c r="G272" s="9"/>
    </row>
    <row r="273" customFormat="false" ht="15" hidden="false" customHeight="false" outlineLevel="0" collapsed="false">
      <c r="A273" s="6" t="str">
        <f aca="false">IF(B273="","",ROW()-3)</f>
        <v/>
      </c>
      <c r="B273" s="7"/>
      <c r="C273" s="8"/>
      <c r="D273" s="9"/>
      <c r="E273" s="10"/>
      <c r="F273" s="9"/>
      <c r="G273" s="9"/>
    </row>
    <row r="274" customFormat="false" ht="15" hidden="false" customHeight="false" outlineLevel="0" collapsed="false">
      <c r="A274" s="6" t="str">
        <f aca="false">IF(B274="","",ROW()-3)</f>
        <v/>
      </c>
      <c r="B274" s="7"/>
      <c r="C274" s="8"/>
      <c r="D274" s="9"/>
      <c r="E274" s="10"/>
      <c r="F274" s="9"/>
      <c r="G274" s="9"/>
    </row>
    <row r="275" customFormat="false" ht="15" hidden="false" customHeight="false" outlineLevel="0" collapsed="false">
      <c r="A275" s="6" t="str">
        <f aca="false">IF(B275="","",ROW()-3)</f>
        <v/>
      </c>
      <c r="B275" s="7"/>
      <c r="C275" s="8"/>
      <c r="D275" s="9"/>
      <c r="E275" s="10"/>
      <c r="F275" s="9"/>
      <c r="G275" s="9"/>
    </row>
    <row r="276" customFormat="false" ht="15" hidden="false" customHeight="false" outlineLevel="0" collapsed="false">
      <c r="A276" s="6" t="str">
        <f aca="false">IF(B276="","",ROW()-3)</f>
        <v/>
      </c>
      <c r="B276" s="7"/>
      <c r="C276" s="8"/>
      <c r="D276" s="9"/>
      <c r="E276" s="10"/>
      <c r="F276" s="9"/>
      <c r="G276" s="9"/>
    </row>
    <row r="277" customFormat="false" ht="15" hidden="false" customHeight="false" outlineLevel="0" collapsed="false">
      <c r="A277" s="6" t="str">
        <f aca="false">IF(B277="","",ROW()-3)</f>
        <v/>
      </c>
      <c r="B277" s="7"/>
      <c r="C277" s="8"/>
      <c r="D277" s="9"/>
      <c r="E277" s="10"/>
      <c r="F277" s="9"/>
      <c r="G277" s="9"/>
    </row>
    <row r="278" customFormat="false" ht="15" hidden="false" customHeight="false" outlineLevel="0" collapsed="false">
      <c r="A278" s="6" t="str">
        <f aca="false">IF(B278="","",ROW()-3)</f>
        <v/>
      </c>
      <c r="B278" s="7"/>
      <c r="C278" s="8"/>
      <c r="D278" s="9"/>
      <c r="E278" s="10"/>
      <c r="F278" s="9"/>
      <c r="G278" s="9"/>
    </row>
    <row r="279" customFormat="false" ht="15" hidden="false" customHeight="false" outlineLevel="0" collapsed="false">
      <c r="A279" s="6" t="str">
        <f aca="false">IF(B279="","",ROW()-3)</f>
        <v/>
      </c>
      <c r="B279" s="7"/>
      <c r="C279" s="8"/>
      <c r="D279" s="9"/>
      <c r="E279" s="10"/>
      <c r="F279" s="9"/>
      <c r="G279" s="9"/>
    </row>
    <row r="280" customFormat="false" ht="15" hidden="false" customHeight="false" outlineLevel="0" collapsed="false">
      <c r="A280" s="6" t="str">
        <f aca="false">IF(B280="","",ROW()-3)</f>
        <v/>
      </c>
      <c r="B280" s="7"/>
      <c r="C280" s="8"/>
      <c r="D280" s="9"/>
      <c r="E280" s="10"/>
      <c r="F280" s="9"/>
      <c r="G280" s="9"/>
    </row>
    <row r="281" customFormat="false" ht="15" hidden="false" customHeight="false" outlineLevel="0" collapsed="false">
      <c r="A281" s="6" t="str">
        <f aca="false">IF(B281="","",ROW()-3)</f>
        <v/>
      </c>
      <c r="B281" s="7"/>
      <c r="C281" s="8"/>
      <c r="D281" s="9"/>
      <c r="E281" s="10"/>
      <c r="F281" s="9"/>
      <c r="G281" s="9"/>
    </row>
    <row r="282" customFormat="false" ht="15" hidden="false" customHeight="false" outlineLevel="0" collapsed="false">
      <c r="A282" s="6" t="str">
        <f aca="false">IF(B282="","",ROW()-3)</f>
        <v/>
      </c>
      <c r="B282" s="7"/>
      <c r="C282" s="8"/>
      <c r="D282" s="9"/>
      <c r="E282" s="10"/>
      <c r="F282" s="9"/>
      <c r="G282" s="9"/>
    </row>
    <row r="283" customFormat="false" ht="15" hidden="false" customHeight="false" outlineLevel="0" collapsed="false">
      <c r="A283" s="6" t="str">
        <f aca="false">IF(B283="","",ROW()-3)</f>
        <v/>
      </c>
      <c r="B283" s="7"/>
      <c r="C283" s="8"/>
      <c r="D283" s="9"/>
      <c r="E283" s="10"/>
      <c r="F283" s="9"/>
      <c r="G283" s="9"/>
    </row>
    <row r="284" customFormat="false" ht="15" hidden="false" customHeight="false" outlineLevel="0" collapsed="false">
      <c r="A284" s="6" t="str">
        <f aca="false">IF(B284="","",ROW()-3)</f>
        <v/>
      </c>
      <c r="B284" s="7"/>
      <c r="C284" s="8"/>
      <c r="D284" s="9"/>
      <c r="E284" s="10"/>
      <c r="F284" s="9"/>
      <c r="G284" s="9"/>
    </row>
    <row r="285" customFormat="false" ht="15" hidden="false" customHeight="false" outlineLevel="0" collapsed="false">
      <c r="A285" s="6" t="str">
        <f aca="false">IF(B285="","",ROW()-3)</f>
        <v/>
      </c>
      <c r="B285" s="7"/>
      <c r="C285" s="8"/>
      <c r="D285" s="9"/>
      <c r="E285" s="10"/>
      <c r="F285" s="9"/>
      <c r="G285" s="9"/>
    </row>
    <row r="286" customFormat="false" ht="15" hidden="false" customHeight="false" outlineLevel="0" collapsed="false">
      <c r="A286" s="6" t="str">
        <f aca="false">IF(B286="","",ROW()-3)</f>
        <v/>
      </c>
      <c r="B286" s="7"/>
      <c r="C286" s="8"/>
      <c r="D286" s="9"/>
      <c r="E286" s="10"/>
      <c r="F286" s="9"/>
      <c r="G286" s="9"/>
    </row>
    <row r="287" customFormat="false" ht="15" hidden="false" customHeight="false" outlineLevel="0" collapsed="false">
      <c r="A287" s="6" t="str">
        <f aca="false">IF(B287="","",ROW()-3)</f>
        <v/>
      </c>
      <c r="B287" s="7"/>
      <c r="C287" s="8"/>
      <c r="D287" s="9"/>
      <c r="E287" s="10"/>
      <c r="F287" s="9"/>
      <c r="G287" s="9"/>
    </row>
    <row r="288" customFormat="false" ht="15" hidden="false" customHeight="false" outlineLevel="0" collapsed="false">
      <c r="A288" s="6" t="str">
        <f aca="false">IF(B288="","",ROW()-3)</f>
        <v/>
      </c>
      <c r="B288" s="7"/>
      <c r="C288" s="8"/>
      <c r="D288" s="9"/>
      <c r="E288" s="10"/>
      <c r="F288" s="9"/>
      <c r="G288" s="9"/>
    </row>
    <row r="289" customFormat="false" ht="15" hidden="false" customHeight="false" outlineLevel="0" collapsed="false">
      <c r="A289" s="6" t="str">
        <f aca="false">IF(B289="","",ROW()-3)</f>
        <v/>
      </c>
      <c r="B289" s="7"/>
      <c r="C289" s="8"/>
      <c r="D289" s="9"/>
      <c r="E289" s="10"/>
      <c r="F289" s="9"/>
      <c r="G289" s="9"/>
    </row>
    <row r="290" customFormat="false" ht="15" hidden="false" customHeight="false" outlineLevel="0" collapsed="false">
      <c r="A290" s="6" t="str">
        <f aca="false">IF(B290="","",ROW()-3)</f>
        <v/>
      </c>
      <c r="B290" s="7"/>
      <c r="C290" s="8"/>
      <c r="D290" s="9"/>
      <c r="E290" s="10"/>
      <c r="F290" s="9"/>
      <c r="G290" s="9"/>
    </row>
    <row r="291" customFormat="false" ht="15" hidden="false" customHeight="false" outlineLevel="0" collapsed="false">
      <c r="A291" s="6" t="str">
        <f aca="false">IF(B291="","",ROW()-3)</f>
        <v/>
      </c>
      <c r="B291" s="7"/>
      <c r="C291" s="8"/>
      <c r="D291" s="9"/>
      <c r="E291" s="10"/>
      <c r="F291" s="9"/>
      <c r="G291" s="9"/>
    </row>
    <row r="292" customFormat="false" ht="15" hidden="false" customHeight="false" outlineLevel="0" collapsed="false">
      <c r="A292" s="6" t="str">
        <f aca="false">IF(B292="","",ROW()-3)</f>
        <v/>
      </c>
      <c r="B292" s="7"/>
      <c r="C292" s="8"/>
      <c r="D292" s="9"/>
      <c r="E292" s="10"/>
      <c r="F292" s="9"/>
      <c r="G292" s="9"/>
    </row>
    <row r="293" customFormat="false" ht="15" hidden="false" customHeight="false" outlineLevel="0" collapsed="false">
      <c r="A293" s="6" t="str">
        <f aca="false">IF(B293="","",ROW()-3)</f>
        <v/>
      </c>
      <c r="B293" s="7"/>
      <c r="C293" s="8"/>
      <c r="D293" s="9"/>
      <c r="E293" s="10"/>
      <c r="F293" s="9"/>
      <c r="G293" s="9"/>
    </row>
    <row r="294" customFormat="false" ht="15" hidden="false" customHeight="false" outlineLevel="0" collapsed="false">
      <c r="A294" s="6" t="str">
        <f aca="false">IF(B294="","",ROW()-3)</f>
        <v/>
      </c>
      <c r="B294" s="7"/>
      <c r="C294" s="8"/>
      <c r="D294" s="9"/>
      <c r="E294" s="10"/>
      <c r="F294" s="9"/>
      <c r="G294" s="9"/>
    </row>
    <row r="295" customFormat="false" ht="15" hidden="false" customHeight="false" outlineLevel="0" collapsed="false">
      <c r="A295" s="6" t="str">
        <f aca="false">IF(B295="","",ROW()-3)</f>
        <v/>
      </c>
      <c r="B295" s="7"/>
      <c r="C295" s="8"/>
      <c r="D295" s="9"/>
      <c r="E295" s="10"/>
      <c r="F295" s="9"/>
      <c r="G295" s="9"/>
    </row>
    <row r="296" customFormat="false" ht="15" hidden="false" customHeight="false" outlineLevel="0" collapsed="false">
      <c r="A296" s="6" t="str">
        <f aca="false">IF(B296="","",ROW()-3)</f>
        <v/>
      </c>
      <c r="B296" s="7"/>
      <c r="C296" s="8"/>
      <c r="D296" s="9"/>
      <c r="E296" s="10"/>
      <c r="F296" s="9"/>
      <c r="G296" s="9"/>
    </row>
    <row r="297" customFormat="false" ht="15" hidden="false" customHeight="false" outlineLevel="0" collapsed="false">
      <c r="A297" s="6" t="str">
        <f aca="false">IF(B297="","",ROW()-3)</f>
        <v/>
      </c>
      <c r="B297" s="7"/>
      <c r="C297" s="8"/>
      <c r="D297" s="9"/>
      <c r="E297" s="10"/>
      <c r="F297" s="9"/>
      <c r="G297" s="9"/>
    </row>
    <row r="298" customFormat="false" ht="15" hidden="false" customHeight="false" outlineLevel="0" collapsed="false">
      <c r="A298" s="6" t="str">
        <f aca="false">IF(B298="","",ROW()-3)</f>
        <v/>
      </c>
      <c r="B298" s="7"/>
      <c r="C298" s="8"/>
      <c r="D298" s="9"/>
      <c r="E298" s="10"/>
      <c r="F298" s="9"/>
      <c r="G298" s="9"/>
    </row>
    <row r="299" customFormat="false" ht="15" hidden="false" customHeight="false" outlineLevel="0" collapsed="false">
      <c r="A299" s="6" t="str">
        <f aca="false">IF(B299="","",ROW()-3)</f>
        <v/>
      </c>
      <c r="B299" s="7"/>
      <c r="C299" s="8"/>
      <c r="D299" s="9"/>
      <c r="E299" s="10"/>
      <c r="F299" s="9"/>
      <c r="G299" s="9"/>
    </row>
    <row r="300" customFormat="false" ht="15" hidden="false" customHeight="false" outlineLevel="0" collapsed="false">
      <c r="A300" s="6" t="str">
        <f aca="false">IF(B300="","",ROW()-3)</f>
        <v/>
      </c>
      <c r="B300" s="7"/>
      <c r="C300" s="8"/>
      <c r="D300" s="9"/>
      <c r="E300" s="10"/>
      <c r="F300" s="9"/>
      <c r="G300" s="9"/>
    </row>
    <row r="301" customFormat="false" ht="15" hidden="false" customHeight="false" outlineLevel="0" collapsed="false">
      <c r="A301" s="6" t="str">
        <f aca="false">IF(B301="","",ROW()-3)</f>
        <v/>
      </c>
      <c r="B301" s="7"/>
      <c r="C301" s="8"/>
      <c r="D301" s="9"/>
      <c r="E301" s="10"/>
      <c r="F301" s="9"/>
      <c r="G301" s="9"/>
    </row>
    <row r="302" customFormat="false" ht="15" hidden="false" customHeight="false" outlineLevel="0" collapsed="false">
      <c r="A302" s="6" t="str">
        <f aca="false">IF(B302="","",ROW()-3)</f>
        <v/>
      </c>
      <c r="B302" s="7"/>
      <c r="C302" s="8"/>
      <c r="D302" s="9"/>
      <c r="E302" s="10"/>
      <c r="F302" s="9"/>
      <c r="G302" s="9"/>
    </row>
    <row r="303" customFormat="false" ht="15" hidden="false" customHeight="false" outlineLevel="0" collapsed="false">
      <c r="A303" s="6" t="str">
        <f aca="false">IF(B303="","",ROW()-3)</f>
        <v/>
      </c>
      <c r="B303" s="7"/>
      <c r="C303" s="8"/>
      <c r="D303" s="9"/>
      <c r="E303" s="10"/>
      <c r="F303" s="9"/>
      <c r="G303" s="9"/>
    </row>
    <row r="304" customFormat="false" ht="15" hidden="false" customHeight="false" outlineLevel="0" collapsed="false">
      <c r="A304" s="6" t="str">
        <f aca="false">IF(B304="","",ROW()-3)</f>
        <v/>
      </c>
      <c r="B304" s="7"/>
      <c r="C304" s="8"/>
      <c r="D304" s="9"/>
      <c r="E304" s="10"/>
      <c r="F304" s="9"/>
      <c r="G304" s="9"/>
    </row>
    <row r="305" customFormat="false" ht="15" hidden="false" customHeight="false" outlineLevel="0" collapsed="false">
      <c r="A305" s="6" t="str">
        <f aca="false">IF(B305="","",ROW()-3)</f>
        <v/>
      </c>
      <c r="B305" s="7"/>
      <c r="C305" s="8"/>
      <c r="D305" s="9"/>
      <c r="E305" s="10"/>
      <c r="F305" s="9"/>
      <c r="G305" s="9"/>
    </row>
    <row r="306" customFormat="false" ht="15" hidden="false" customHeight="false" outlineLevel="0" collapsed="false">
      <c r="A306" s="6" t="str">
        <f aca="false">IF(B306="","",ROW()-3)</f>
        <v/>
      </c>
      <c r="B306" s="7"/>
      <c r="C306" s="8"/>
      <c r="D306" s="9"/>
      <c r="E306" s="10"/>
      <c r="F306" s="9"/>
      <c r="G306" s="9"/>
    </row>
    <row r="307" customFormat="false" ht="15" hidden="false" customHeight="false" outlineLevel="0" collapsed="false">
      <c r="A307" s="6" t="str">
        <f aca="false">IF(B307="","",ROW()-3)</f>
        <v/>
      </c>
      <c r="B307" s="7"/>
      <c r="C307" s="8"/>
      <c r="D307" s="9"/>
      <c r="E307" s="10"/>
      <c r="F307" s="9"/>
      <c r="G307" s="9"/>
    </row>
    <row r="308" customFormat="false" ht="15" hidden="false" customHeight="false" outlineLevel="0" collapsed="false">
      <c r="A308" s="6" t="str">
        <f aca="false">IF(B308="","",ROW()-3)</f>
        <v/>
      </c>
      <c r="B308" s="7"/>
      <c r="C308" s="8"/>
      <c r="D308" s="9"/>
      <c r="E308" s="10"/>
      <c r="F308" s="9"/>
      <c r="G308" s="9"/>
    </row>
    <row r="309" customFormat="false" ht="15" hidden="false" customHeight="false" outlineLevel="0" collapsed="false">
      <c r="A309" s="6" t="str">
        <f aca="false">IF(B309="","",ROW()-3)</f>
        <v/>
      </c>
      <c r="B309" s="7"/>
      <c r="C309" s="8"/>
      <c r="D309" s="9"/>
      <c r="E309" s="10"/>
      <c r="F309" s="9"/>
      <c r="G309" s="9"/>
    </row>
    <row r="310" customFormat="false" ht="15" hidden="false" customHeight="false" outlineLevel="0" collapsed="false">
      <c r="A310" s="6" t="str">
        <f aca="false">IF(B310="","",ROW()-3)</f>
        <v/>
      </c>
      <c r="B310" s="7"/>
      <c r="C310" s="8"/>
      <c r="D310" s="9"/>
      <c r="E310" s="10"/>
      <c r="F310" s="9"/>
      <c r="G310" s="9"/>
    </row>
    <row r="311" customFormat="false" ht="15" hidden="false" customHeight="false" outlineLevel="0" collapsed="false">
      <c r="A311" s="6" t="str">
        <f aca="false">IF(B311="","",ROW()-3)</f>
        <v/>
      </c>
      <c r="B311" s="7"/>
      <c r="C311" s="8"/>
      <c r="D311" s="9"/>
      <c r="E311" s="10"/>
      <c r="F311" s="9"/>
      <c r="G311" s="9"/>
    </row>
    <row r="312" customFormat="false" ht="15" hidden="false" customHeight="false" outlineLevel="0" collapsed="false">
      <c r="A312" s="6" t="str">
        <f aca="false">IF(B312="","",ROW()-3)</f>
        <v/>
      </c>
      <c r="B312" s="7"/>
      <c r="C312" s="8"/>
      <c r="D312" s="9"/>
      <c r="E312" s="10"/>
      <c r="F312" s="9"/>
      <c r="G312" s="9"/>
    </row>
    <row r="313" customFormat="false" ht="15" hidden="false" customHeight="false" outlineLevel="0" collapsed="false">
      <c r="A313" s="6" t="str">
        <f aca="false">IF(B313="","",ROW()-3)</f>
        <v/>
      </c>
      <c r="B313" s="7"/>
      <c r="C313" s="8"/>
      <c r="D313" s="9"/>
      <c r="E313" s="10"/>
      <c r="F313" s="9"/>
      <c r="G313" s="9"/>
    </row>
    <row r="314" customFormat="false" ht="15" hidden="false" customHeight="false" outlineLevel="0" collapsed="false">
      <c r="A314" s="6" t="str">
        <f aca="false">IF(B314="","",ROW()-3)</f>
        <v/>
      </c>
      <c r="B314" s="7"/>
      <c r="C314" s="8"/>
      <c r="D314" s="9"/>
      <c r="E314" s="10"/>
      <c r="F314" s="9"/>
      <c r="G314" s="9"/>
    </row>
    <row r="315" customFormat="false" ht="15" hidden="false" customHeight="false" outlineLevel="0" collapsed="false">
      <c r="A315" s="6" t="str">
        <f aca="false">IF(B315="","",ROW()-3)</f>
        <v/>
      </c>
      <c r="B315" s="7"/>
      <c r="C315" s="8"/>
      <c r="D315" s="9"/>
      <c r="E315" s="10"/>
      <c r="F315" s="9"/>
      <c r="G315" s="9"/>
    </row>
    <row r="316" customFormat="false" ht="15" hidden="false" customHeight="false" outlineLevel="0" collapsed="false">
      <c r="A316" s="6" t="str">
        <f aca="false">IF(B316="","",ROW()-3)</f>
        <v/>
      </c>
      <c r="B316" s="7"/>
      <c r="C316" s="8"/>
      <c r="D316" s="9"/>
      <c r="E316" s="10"/>
      <c r="F316" s="9"/>
      <c r="G316" s="9"/>
    </row>
    <row r="317" customFormat="false" ht="15" hidden="false" customHeight="false" outlineLevel="0" collapsed="false">
      <c r="A317" s="6" t="str">
        <f aca="false">IF(B317="","",ROW()-3)</f>
        <v/>
      </c>
      <c r="B317" s="7"/>
      <c r="C317" s="8"/>
      <c r="D317" s="9"/>
      <c r="E317" s="10"/>
      <c r="F317" s="9"/>
      <c r="G317" s="9"/>
    </row>
    <row r="318" customFormat="false" ht="15" hidden="false" customHeight="false" outlineLevel="0" collapsed="false">
      <c r="A318" s="6" t="str">
        <f aca="false">IF(B318="","",ROW()-3)</f>
        <v/>
      </c>
      <c r="B318" s="7"/>
      <c r="C318" s="8"/>
      <c r="D318" s="9"/>
      <c r="E318" s="10"/>
      <c r="F318" s="9"/>
      <c r="G318" s="9"/>
    </row>
    <row r="319" customFormat="false" ht="15" hidden="false" customHeight="false" outlineLevel="0" collapsed="false">
      <c r="A319" s="6" t="str">
        <f aca="false">IF(B319="","",ROW()-3)</f>
        <v/>
      </c>
      <c r="B319" s="7"/>
      <c r="C319" s="8"/>
      <c r="D319" s="9"/>
      <c r="E319" s="10"/>
      <c r="F319" s="9"/>
      <c r="G319" s="9"/>
    </row>
    <row r="320" customFormat="false" ht="15" hidden="false" customHeight="false" outlineLevel="0" collapsed="false">
      <c r="A320" s="6" t="str">
        <f aca="false">IF(B320="","",ROW()-3)</f>
        <v/>
      </c>
      <c r="B320" s="7"/>
      <c r="C320" s="8"/>
      <c r="D320" s="9"/>
      <c r="E320" s="10"/>
      <c r="F320" s="9"/>
      <c r="G320" s="9"/>
    </row>
    <row r="321" customFormat="false" ht="15" hidden="false" customHeight="false" outlineLevel="0" collapsed="false">
      <c r="A321" s="6" t="str">
        <f aca="false">IF(B321="","",ROW()-3)</f>
        <v/>
      </c>
      <c r="B321" s="7"/>
      <c r="C321" s="8"/>
      <c r="D321" s="9"/>
      <c r="E321" s="10"/>
      <c r="F321" s="9"/>
      <c r="G321" s="9"/>
    </row>
    <row r="322" customFormat="false" ht="15" hidden="false" customHeight="false" outlineLevel="0" collapsed="false">
      <c r="A322" s="6" t="str">
        <f aca="false">IF(B322="","",ROW()-3)</f>
        <v/>
      </c>
      <c r="B322" s="7"/>
      <c r="C322" s="8"/>
      <c r="D322" s="9"/>
      <c r="E322" s="10"/>
      <c r="F322" s="9"/>
      <c r="G322" s="9"/>
    </row>
    <row r="323" customFormat="false" ht="15" hidden="false" customHeight="false" outlineLevel="0" collapsed="false">
      <c r="A323" s="6" t="str">
        <f aca="false">IF(B323="","",ROW()-3)</f>
        <v/>
      </c>
      <c r="B323" s="7"/>
      <c r="C323" s="8"/>
      <c r="D323" s="9"/>
      <c r="E323" s="10"/>
      <c r="F323" s="9"/>
      <c r="G323" s="9"/>
    </row>
    <row r="324" customFormat="false" ht="15" hidden="false" customHeight="false" outlineLevel="0" collapsed="false">
      <c r="A324" s="6" t="str">
        <f aca="false">IF(B324="","",ROW()-3)</f>
        <v/>
      </c>
      <c r="B324" s="7"/>
      <c r="C324" s="8"/>
      <c r="D324" s="9"/>
      <c r="E324" s="10"/>
      <c r="F324" s="9"/>
      <c r="G324" s="9"/>
    </row>
    <row r="325" customFormat="false" ht="15" hidden="false" customHeight="false" outlineLevel="0" collapsed="false">
      <c r="A325" s="6" t="str">
        <f aca="false">IF(B325="","",ROW()-3)</f>
        <v/>
      </c>
      <c r="B325" s="7"/>
      <c r="C325" s="8"/>
      <c r="D325" s="9"/>
      <c r="E325" s="10"/>
      <c r="F325" s="9"/>
      <c r="G325" s="9"/>
    </row>
    <row r="326" customFormat="false" ht="15" hidden="false" customHeight="false" outlineLevel="0" collapsed="false">
      <c r="A326" s="6" t="str">
        <f aca="false">IF(B326="","",ROW()-3)</f>
        <v/>
      </c>
      <c r="B326" s="7"/>
      <c r="C326" s="8"/>
      <c r="D326" s="9"/>
      <c r="E326" s="10"/>
      <c r="F326" s="9"/>
      <c r="G326" s="9"/>
    </row>
    <row r="327" customFormat="false" ht="15" hidden="false" customHeight="false" outlineLevel="0" collapsed="false">
      <c r="A327" s="6" t="str">
        <f aca="false">IF(B327="","",ROW()-3)</f>
        <v/>
      </c>
      <c r="B327" s="7"/>
      <c r="C327" s="8"/>
      <c r="D327" s="9"/>
      <c r="E327" s="10"/>
      <c r="F327" s="9"/>
      <c r="G327" s="9"/>
    </row>
    <row r="328" customFormat="false" ht="15" hidden="false" customHeight="false" outlineLevel="0" collapsed="false">
      <c r="A328" s="6" t="str">
        <f aca="false">IF(B328="","",ROW()-3)</f>
        <v/>
      </c>
      <c r="B328" s="7"/>
      <c r="C328" s="8"/>
      <c r="D328" s="9"/>
      <c r="E328" s="10"/>
      <c r="F328" s="9"/>
      <c r="G328" s="9"/>
    </row>
    <row r="329" customFormat="false" ht="15" hidden="false" customHeight="false" outlineLevel="0" collapsed="false">
      <c r="A329" s="6" t="str">
        <f aca="false">IF(B329="","",ROW()-3)</f>
        <v/>
      </c>
      <c r="B329" s="7"/>
      <c r="C329" s="8"/>
      <c r="D329" s="9"/>
      <c r="E329" s="10"/>
      <c r="F329" s="9"/>
      <c r="G329" s="9"/>
    </row>
    <row r="330" customFormat="false" ht="15" hidden="false" customHeight="false" outlineLevel="0" collapsed="false">
      <c r="A330" s="6" t="str">
        <f aca="false">IF(B330="","",ROW()-3)</f>
        <v/>
      </c>
      <c r="B330" s="7"/>
      <c r="C330" s="8"/>
      <c r="D330" s="9"/>
      <c r="E330" s="10"/>
      <c r="F330" s="9"/>
      <c r="G330" s="9"/>
    </row>
    <row r="331" customFormat="false" ht="15" hidden="false" customHeight="false" outlineLevel="0" collapsed="false">
      <c r="A331" s="6" t="str">
        <f aca="false">IF(B331="","",ROW()-3)</f>
        <v/>
      </c>
      <c r="B331" s="7"/>
      <c r="C331" s="8"/>
      <c r="D331" s="9"/>
      <c r="E331" s="10"/>
      <c r="F331" s="9"/>
      <c r="G331" s="9"/>
    </row>
    <row r="332" customFormat="false" ht="15" hidden="false" customHeight="false" outlineLevel="0" collapsed="false">
      <c r="A332" s="6" t="str">
        <f aca="false">IF(B332="","",ROW()-3)</f>
        <v/>
      </c>
      <c r="B332" s="7"/>
      <c r="C332" s="8"/>
      <c r="D332" s="9"/>
      <c r="E332" s="10"/>
      <c r="F332" s="9"/>
      <c r="G332" s="9"/>
    </row>
    <row r="333" customFormat="false" ht="15" hidden="false" customHeight="false" outlineLevel="0" collapsed="false">
      <c r="A333" s="6" t="str">
        <f aca="false">IF(B333="","",ROW()-3)</f>
        <v/>
      </c>
      <c r="B333" s="7"/>
      <c r="C333" s="8"/>
      <c r="D333" s="9"/>
      <c r="E333" s="10"/>
      <c r="F333" s="9"/>
      <c r="G333" s="9"/>
    </row>
    <row r="334" customFormat="false" ht="15" hidden="false" customHeight="false" outlineLevel="0" collapsed="false">
      <c r="A334" s="6" t="str">
        <f aca="false">IF(B334="","",ROW()-3)</f>
        <v/>
      </c>
      <c r="B334" s="7"/>
      <c r="C334" s="8"/>
      <c r="D334" s="9"/>
      <c r="E334" s="10"/>
      <c r="F334" s="9"/>
      <c r="G334" s="9"/>
    </row>
    <row r="335" customFormat="false" ht="15" hidden="false" customHeight="false" outlineLevel="0" collapsed="false">
      <c r="A335" s="6" t="str">
        <f aca="false">IF(B335="","",ROW()-3)</f>
        <v/>
      </c>
      <c r="B335" s="7"/>
      <c r="C335" s="8"/>
      <c r="D335" s="9"/>
      <c r="E335" s="10"/>
      <c r="F335" s="9"/>
      <c r="G335" s="9"/>
    </row>
    <row r="336" customFormat="false" ht="15" hidden="false" customHeight="false" outlineLevel="0" collapsed="false">
      <c r="A336" s="6" t="str">
        <f aca="false">IF(B336="","",ROW()-3)</f>
        <v/>
      </c>
      <c r="B336" s="7"/>
      <c r="C336" s="8"/>
      <c r="D336" s="9"/>
      <c r="E336" s="10"/>
      <c r="F336" s="9"/>
      <c r="G336" s="9"/>
    </row>
    <row r="337" customFormat="false" ht="15" hidden="false" customHeight="false" outlineLevel="0" collapsed="false">
      <c r="A337" s="6" t="str">
        <f aca="false">IF(B337="","",ROW()-3)</f>
        <v/>
      </c>
      <c r="B337" s="7"/>
      <c r="C337" s="8"/>
      <c r="D337" s="9"/>
      <c r="E337" s="10"/>
      <c r="F337" s="9"/>
      <c r="G337" s="9"/>
    </row>
    <row r="338" customFormat="false" ht="15" hidden="false" customHeight="false" outlineLevel="0" collapsed="false">
      <c r="A338" s="6" t="str">
        <f aca="false">IF(B338="","",ROW()-3)</f>
        <v/>
      </c>
      <c r="B338" s="7"/>
      <c r="C338" s="8"/>
      <c r="D338" s="9"/>
      <c r="E338" s="10"/>
      <c r="F338" s="9"/>
      <c r="G338" s="9"/>
    </row>
    <row r="339" customFormat="false" ht="15" hidden="false" customHeight="false" outlineLevel="0" collapsed="false">
      <c r="A339" s="6" t="str">
        <f aca="false">IF(B339="","",ROW()-3)</f>
        <v/>
      </c>
      <c r="B339" s="7"/>
      <c r="C339" s="8"/>
      <c r="D339" s="9"/>
      <c r="E339" s="10"/>
      <c r="F339" s="9"/>
      <c r="G339" s="9"/>
    </row>
    <row r="340" customFormat="false" ht="15" hidden="false" customHeight="false" outlineLevel="0" collapsed="false">
      <c r="A340" s="6" t="str">
        <f aca="false">IF(B340="","",ROW()-3)</f>
        <v/>
      </c>
      <c r="B340" s="7"/>
      <c r="C340" s="8"/>
      <c r="D340" s="9"/>
      <c r="E340" s="10"/>
      <c r="F340" s="9"/>
      <c r="G340" s="9"/>
    </row>
    <row r="341" customFormat="false" ht="15" hidden="false" customHeight="false" outlineLevel="0" collapsed="false">
      <c r="A341" s="6" t="str">
        <f aca="false">IF(B341="","",ROW()-3)</f>
        <v/>
      </c>
      <c r="B341" s="7"/>
      <c r="C341" s="8"/>
      <c r="D341" s="9"/>
      <c r="E341" s="10"/>
      <c r="F341" s="9"/>
      <c r="G341" s="9"/>
    </row>
    <row r="342" customFormat="false" ht="15" hidden="false" customHeight="false" outlineLevel="0" collapsed="false">
      <c r="A342" s="6" t="str">
        <f aca="false">IF(B342="","",ROW()-3)</f>
        <v/>
      </c>
      <c r="B342" s="7"/>
      <c r="C342" s="8"/>
      <c r="D342" s="9"/>
      <c r="E342" s="10"/>
      <c r="F342" s="9"/>
      <c r="G342" s="9"/>
    </row>
    <row r="343" customFormat="false" ht="15" hidden="false" customHeight="false" outlineLevel="0" collapsed="false">
      <c r="A343" s="6" t="str">
        <f aca="false">IF(B343="","",ROW()-3)</f>
        <v/>
      </c>
      <c r="B343" s="7"/>
      <c r="C343" s="8"/>
      <c r="D343" s="9"/>
      <c r="E343" s="10"/>
      <c r="F343" s="9"/>
      <c r="G343" s="9"/>
    </row>
    <row r="344" customFormat="false" ht="15" hidden="false" customHeight="false" outlineLevel="0" collapsed="false">
      <c r="A344" s="6" t="str">
        <f aca="false">IF(B344="","",ROW()-3)</f>
        <v/>
      </c>
      <c r="B344" s="7"/>
      <c r="C344" s="8"/>
      <c r="D344" s="9"/>
      <c r="E344" s="10"/>
      <c r="F344" s="9"/>
      <c r="G344" s="9"/>
    </row>
    <row r="345" customFormat="false" ht="15" hidden="false" customHeight="false" outlineLevel="0" collapsed="false">
      <c r="A345" s="6" t="str">
        <f aca="false">IF(B345="","",ROW()-3)</f>
        <v/>
      </c>
      <c r="B345" s="7"/>
      <c r="C345" s="8"/>
      <c r="D345" s="9"/>
      <c r="E345" s="10"/>
      <c r="F345" s="9"/>
      <c r="G345" s="9"/>
    </row>
    <row r="346" customFormat="false" ht="15" hidden="false" customHeight="false" outlineLevel="0" collapsed="false">
      <c r="A346" s="6" t="str">
        <f aca="false">IF(B346="","",ROW()-3)</f>
        <v/>
      </c>
      <c r="B346" s="7"/>
      <c r="C346" s="8"/>
      <c r="D346" s="9"/>
      <c r="E346" s="10"/>
      <c r="F346" s="9"/>
      <c r="G346" s="9"/>
    </row>
    <row r="347" customFormat="false" ht="15" hidden="false" customHeight="false" outlineLevel="0" collapsed="false">
      <c r="A347" s="6" t="str">
        <f aca="false">IF(B347="","",ROW()-3)</f>
        <v/>
      </c>
      <c r="B347" s="7"/>
      <c r="C347" s="8"/>
      <c r="D347" s="9"/>
      <c r="E347" s="10"/>
      <c r="F347" s="9"/>
      <c r="G347" s="9"/>
    </row>
    <row r="348" customFormat="false" ht="15" hidden="false" customHeight="false" outlineLevel="0" collapsed="false">
      <c r="A348" s="6" t="str">
        <f aca="false">IF(B348="","",ROW()-3)</f>
        <v/>
      </c>
      <c r="B348" s="7"/>
      <c r="C348" s="8"/>
      <c r="D348" s="9"/>
      <c r="E348" s="10"/>
      <c r="F348" s="9"/>
      <c r="G348" s="9"/>
    </row>
    <row r="349" customFormat="false" ht="15" hidden="false" customHeight="false" outlineLevel="0" collapsed="false">
      <c r="A349" s="6" t="str">
        <f aca="false">IF(B349="","",ROW()-3)</f>
        <v/>
      </c>
      <c r="B349" s="7"/>
      <c r="C349" s="8"/>
      <c r="D349" s="9"/>
      <c r="E349" s="10"/>
      <c r="F349" s="9"/>
      <c r="G349" s="9"/>
    </row>
    <row r="350" customFormat="false" ht="15" hidden="false" customHeight="false" outlineLevel="0" collapsed="false">
      <c r="A350" s="6" t="str">
        <f aca="false">IF(B350="","",ROW()-3)</f>
        <v/>
      </c>
      <c r="B350" s="7"/>
      <c r="C350" s="8"/>
      <c r="D350" s="9"/>
      <c r="E350" s="10"/>
      <c r="F350" s="9"/>
      <c r="G350" s="9"/>
    </row>
    <row r="351" customFormat="false" ht="15" hidden="false" customHeight="false" outlineLevel="0" collapsed="false">
      <c r="A351" s="6" t="str">
        <f aca="false">IF(B351="","",ROW()-3)</f>
        <v/>
      </c>
      <c r="B351" s="7"/>
      <c r="C351" s="8"/>
      <c r="D351" s="9"/>
      <c r="E351" s="10"/>
      <c r="F351" s="9"/>
      <c r="G351" s="9"/>
    </row>
    <row r="352" customFormat="false" ht="15" hidden="false" customHeight="false" outlineLevel="0" collapsed="false">
      <c r="A352" s="6" t="str">
        <f aca="false">IF(B352="","",ROW()-3)</f>
        <v/>
      </c>
      <c r="B352" s="7"/>
      <c r="C352" s="8"/>
      <c r="D352" s="9"/>
      <c r="E352" s="10"/>
      <c r="F352" s="9"/>
      <c r="G352" s="9"/>
    </row>
    <row r="353" customFormat="false" ht="15" hidden="false" customHeight="false" outlineLevel="0" collapsed="false">
      <c r="A353" s="6" t="str">
        <f aca="false">IF(B353="","",ROW()-3)</f>
        <v/>
      </c>
      <c r="B353" s="7"/>
      <c r="C353" s="8"/>
      <c r="D353" s="9"/>
      <c r="E353" s="10"/>
      <c r="F353" s="9"/>
      <c r="G353" s="9"/>
    </row>
    <row r="354" customFormat="false" ht="15" hidden="false" customHeight="false" outlineLevel="0" collapsed="false">
      <c r="A354" s="6" t="str">
        <f aca="false">IF(B354="","",ROW()-3)</f>
        <v/>
      </c>
      <c r="B354" s="7"/>
      <c r="C354" s="8"/>
      <c r="D354" s="9"/>
      <c r="E354" s="10"/>
      <c r="F354" s="9"/>
      <c r="G354" s="9"/>
    </row>
    <row r="355" customFormat="false" ht="15" hidden="false" customHeight="false" outlineLevel="0" collapsed="false">
      <c r="A355" s="6" t="str">
        <f aca="false">IF(B355="","",ROW()-3)</f>
        <v/>
      </c>
      <c r="B355" s="7"/>
      <c r="C355" s="8"/>
      <c r="D355" s="9"/>
      <c r="E355" s="10"/>
      <c r="F355" s="9"/>
      <c r="G355" s="9"/>
    </row>
    <row r="356" customFormat="false" ht="15" hidden="false" customHeight="false" outlineLevel="0" collapsed="false">
      <c r="A356" s="6" t="str">
        <f aca="false">IF(B356="","",ROW()-3)</f>
        <v/>
      </c>
      <c r="B356" s="7"/>
      <c r="C356" s="8"/>
      <c r="D356" s="9"/>
      <c r="E356" s="10"/>
      <c r="F356" s="9"/>
      <c r="G356" s="9"/>
    </row>
    <row r="357" customFormat="false" ht="15" hidden="false" customHeight="false" outlineLevel="0" collapsed="false">
      <c r="A357" s="6" t="str">
        <f aca="false">IF(B357="","",ROW()-3)</f>
        <v/>
      </c>
      <c r="B357" s="7"/>
      <c r="C357" s="8"/>
      <c r="D357" s="9"/>
      <c r="E357" s="10"/>
      <c r="F357" s="9"/>
      <c r="G357" s="9"/>
    </row>
    <row r="358" customFormat="false" ht="15" hidden="false" customHeight="false" outlineLevel="0" collapsed="false">
      <c r="A358" s="6" t="str">
        <f aca="false">IF(B358="","",ROW()-3)</f>
        <v/>
      </c>
      <c r="B358" s="7"/>
      <c r="C358" s="8"/>
      <c r="D358" s="9"/>
      <c r="E358" s="10"/>
      <c r="F358" s="9"/>
      <c r="G358" s="9"/>
    </row>
    <row r="359" customFormat="false" ht="15" hidden="false" customHeight="false" outlineLevel="0" collapsed="false">
      <c r="A359" s="6" t="str">
        <f aca="false">IF(B359="","",ROW()-3)</f>
        <v/>
      </c>
      <c r="B359" s="7"/>
      <c r="C359" s="8"/>
      <c r="D359" s="9"/>
      <c r="E359" s="10"/>
      <c r="F359" s="9"/>
      <c r="G359" s="9"/>
    </row>
    <row r="360" customFormat="false" ht="15" hidden="false" customHeight="false" outlineLevel="0" collapsed="false">
      <c r="A360" s="6" t="str">
        <f aca="false">IF(B360="","",ROW()-3)</f>
        <v/>
      </c>
      <c r="B360" s="7"/>
      <c r="C360" s="8"/>
      <c r="D360" s="9"/>
      <c r="E360" s="10"/>
      <c r="F360" s="9"/>
      <c r="G360" s="9"/>
    </row>
    <row r="361" customFormat="false" ht="15" hidden="false" customHeight="false" outlineLevel="0" collapsed="false">
      <c r="A361" s="6" t="str">
        <f aca="false">IF(B361="","",ROW()-3)</f>
        <v/>
      </c>
      <c r="B361" s="7"/>
      <c r="C361" s="8"/>
      <c r="D361" s="9"/>
      <c r="E361" s="10"/>
      <c r="F361" s="9"/>
      <c r="G361" s="9"/>
    </row>
    <row r="362" customFormat="false" ht="15" hidden="false" customHeight="false" outlineLevel="0" collapsed="false">
      <c r="A362" s="6" t="str">
        <f aca="false">IF(B362="","",ROW()-3)</f>
        <v/>
      </c>
      <c r="B362" s="7"/>
      <c r="C362" s="8"/>
      <c r="D362" s="9"/>
      <c r="E362" s="10"/>
      <c r="F362" s="9"/>
      <c r="G362" s="9"/>
    </row>
    <row r="363" customFormat="false" ht="15" hidden="false" customHeight="false" outlineLevel="0" collapsed="false">
      <c r="A363" s="6" t="str">
        <f aca="false">IF(B363="","",ROW()-3)</f>
        <v/>
      </c>
      <c r="B363" s="7"/>
      <c r="C363" s="8"/>
      <c r="D363" s="9"/>
      <c r="E363" s="10"/>
      <c r="F363" s="9"/>
      <c r="G363" s="9"/>
    </row>
    <row r="364" customFormat="false" ht="15" hidden="false" customHeight="false" outlineLevel="0" collapsed="false">
      <c r="A364" s="6" t="str">
        <f aca="false">IF(B364="","",ROW()-3)</f>
        <v/>
      </c>
      <c r="B364" s="7"/>
      <c r="C364" s="8"/>
      <c r="D364" s="9"/>
      <c r="E364" s="10"/>
      <c r="F364" s="9"/>
      <c r="G364" s="9"/>
    </row>
    <row r="365" customFormat="false" ht="15" hidden="false" customHeight="false" outlineLevel="0" collapsed="false">
      <c r="A365" s="6" t="str">
        <f aca="false">IF(B365="","",ROW()-3)</f>
        <v/>
      </c>
      <c r="B365" s="7"/>
      <c r="C365" s="8"/>
      <c r="D365" s="9"/>
      <c r="E365" s="10"/>
      <c r="F365" s="9"/>
      <c r="G365" s="9"/>
    </row>
    <row r="366" customFormat="false" ht="15" hidden="false" customHeight="false" outlineLevel="0" collapsed="false">
      <c r="A366" s="6" t="str">
        <f aca="false">IF(B366="","",ROW()-3)</f>
        <v/>
      </c>
      <c r="B366" s="7"/>
      <c r="C366" s="8"/>
      <c r="D366" s="9"/>
      <c r="E366" s="10"/>
      <c r="F366" s="9"/>
      <c r="G366" s="9"/>
    </row>
    <row r="367" customFormat="false" ht="15" hidden="false" customHeight="false" outlineLevel="0" collapsed="false">
      <c r="A367" s="6" t="str">
        <f aca="false">IF(B367="","",ROW()-3)</f>
        <v/>
      </c>
      <c r="B367" s="7"/>
      <c r="C367" s="8"/>
      <c r="D367" s="9"/>
      <c r="E367" s="10"/>
      <c r="F367" s="9"/>
      <c r="G367" s="9"/>
    </row>
    <row r="368" customFormat="false" ht="15" hidden="false" customHeight="false" outlineLevel="0" collapsed="false">
      <c r="A368" s="6" t="str">
        <f aca="false">IF(B368="","",ROW()-3)</f>
        <v/>
      </c>
      <c r="B368" s="7"/>
      <c r="C368" s="8"/>
      <c r="D368" s="9"/>
      <c r="E368" s="10"/>
      <c r="F368" s="9"/>
      <c r="G368" s="9"/>
    </row>
    <row r="369" customFormat="false" ht="15" hidden="false" customHeight="false" outlineLevel="0" collapsed="false">
      <c r="A369" s="6" t="str">
        <f aca="false">IF(B369="","",ROW()-3)</f>
        <v/>
      </c>
      <c r="B369" s="7"/>
      <c r="C369" s="8"/>
      <c r="D369" s="9"/>
      <c r="E369" s="10"/>
      <c r="F369" s="9"/>
      <c r="G369" s="9"/>
    </row>
    <row r="370" customFormat="false" ht="15" hidden="false" customHeight="false" outlineLevel="0" collapsed="false">
      <c r="A370" s="6" t="str">
        <f aca="false">IF(B370="","",ROW()-3)</f>
        <v/>
      </c>
      <c r="B370" s="7"/>
      <c r="C370" s="8"/>
      <c r="D370" s="9"/>
      <c r="E370" s="10"/>
      <c r="F370" s="9"/>
      <c r="G370" s="9"/>
    </row>
    <row r="371" customFormat="false" ht="15" hidden="false" customHeight="false" outlineLevel="0" collapsed="false">
      <c r="A371" s="6" t="str">
        <f aca="false">IF(B371="","",ROW()-3)</f>
        <v/>
      </c>
      <c r="B371" s="7"/>
      <c r="C371" s="8"/>
      <c r="D371" s="9"/>
      <c r="E371" s="10"/>
      <c r="F371" s="9"/>
      <c r="G371" s="9"/>
    </row>
    <row r="372" customFormat="false" ht="15" hidden="false" customHeight="false" outlineLevel="0" collapsed="false">
      <c r="A372" s="6" t="str">
        <f aca="false">IF(B372="","",ROW()-3)</f>
        <v/>
      </c>
      <c r="B372" s="7"/>
      <c r="C372" s="8"/>
      <c r="D372" s="9"/>
      <c r="E372" s="10"/>
      <c r="F372" s="9"/>
      <c r="G372" s="9"/>
    </row>
    <row r="373" customFormat="false" ht="15" hidden="false" customHeight="false" outlineLevel="0" collapsed="false">
      <c r="A373" s="6" t="str">
        <f aca="false">IF(B373="","",ROW()-3)</f>
        <v/>
      </c>
      <c r="B373" s="7"/>
      <c r="C373" s="8"/>
      <c r="D373" s="9"/>
      <c r="E373" s="10"/>
      <c r="F373" s="9"/>
      <c r="G373" s="9"/>
    </row>
    <row r="374" customFormat="false" ht="15" hidden="false" customHeight="false" outlineLevel="0" collapsed="false">
      <c r="A374" s="6" t="str">
        <f aca="false">IF(B374="","",ROW()-3)</f>
        <v/>
      </c>
      <c r="B374" s="7"/>
      <c r="C374" s="8"/>
      <c r="D374" s="9"/>
      <c r="E374" s="10"/>
      <c r="F374" s="9"/>
      <c r="G374" s="9"/>
    </row>
    <row r="375" customFormat="false" ht="15" hidden="false" customHeight="false" outlineLevel="0" collapsed="false">
      <c r="A375" s="6" t="str">
        <f aca="false">IF(B375="","",ROW()-3)</f>
        <v/>
      </c>
      <c r="B375" s="7"/>
      <c r="C375" s="8"/>
      <c r="D375" s="9"/>
      <c r="E375" s="10"/>
      <c r="F375" s="9"/>
      <c r="G375" s="9"/>
    </row>
    <row r="376" customFormat="false" ht="15" hidden="false" customHeight="false" outlineLevel="0" collapsed="false">
      <c r="A376" s="6" t="str">
        <f aca="false">IF(B376="","",ROW()-3)</f>
        <v/>
      </c>
      <c r="B376" s="7"/>
      <c r="C376" s="8"/>
      <c r="D376" s="9"/>
      <c r="E376" s="10"/>
      <c r="F376" s="9"/>
      <c r="G376" s="9"/>
    </row>
    <row r="377" customFormat="false" ht="15" hidden="false" customHeight="false" outlineLevel="0" collapsed="false">
      <c r="A377" s="6" t="str">
        <f aca="false">IF(B377="","",ROW()-3)</f>
        <v/>
      </c>
      <c r="B377" s="7"/>
      <c r="C377" s="8"/>
      <c r="D377" s="9"/>
      <c r="E377" s="10"/>
      <c r="F377" s="9"/>
      <c r="G377" s="9"/>
    </row>
    <row r="378" customFormat="false" ht="15" hidden="false" customHeight="false" outlineLevel="0" collapsed="false">
      <c r="A378" s="6" t="str">
        <f aca="false">IF(B378="","",ROW()-3)</f>
        <v/>
      </c>
      <c r="B378" s="7"/>
      <c r="C378" s="8"/>
      <c r="D378" s="9"/>
      <c r="E378" s="10"/>
      <c r="F378" s="9"/>
      <c r="G378" s="9"/>
    </row>
    <row r="379" customFormat="false" ht="15" hidden="false" customHeight="false" outlineLevel="0" collapsed="false">
      <c r="A379" s="6" t="str">
        <f aca="false">IF(B379="","",ROW()-3)</f>
        <v/>
      </c>
      <c r="B379" s="7"/>
      <c r="C379" s="8"/>
      <c r="D379" s="9"/>
      <c r="E379" s="10"/>
      <c r="F379" s="9"/>
      <c r="G379" s="9"/>
    </row>
    <row r="380" customFormat="false" ht="15" hidden="false" customHeight="false" outlineLevel="0" collapsed="false">
      <c r="A380" s="6" t="str">
        <f aca="false">IF(B380="","",ROW()-3)</f>
        <v/>
      </c>
      <c r="B380" s="7"/>
      <c r="C380" s="8"/>
      <c r="D380" s="9"/>
      <c r="E380" s="10"/>
      <c r="F380" s="9"/>
      <c r="G380" s="9"/>
    </row>
    <row r="381" customFormat="false" ht="15" hidden="false" customHeight="false" outlineLevel="0" collapsed="false">
      <c r="A381" s="6" t="str">
        <f aca="false">IF(B381="","",ROW()-3)</f>
        <v/>
      </c>
      <c r="B381" s="7"/>
      <c r="C381" s="8"/>
      <c r="D381" s="9"/>
      <c r="E381" s="10"/>
      <c r="F381" s="9"/>
      <c r="G381" s="9"/>
    </row>
    <row r="382" customFormat="false" ht="15" hidden="false" customHeight="false" outlineLevel="0" collapsed="false">
      <c r="A382" s="6" t="str">
        <f aca="false">IF(B382="","",ROW()-3)</f>
        <v/>
      </c>
      <c r="B382" s="7"/>
      <c r="C382" s="8"/>
      <c r="D382" s="9"/>
      <c r="E382" s="10"/>
      <c r="F382" s="9"/>
      <c r="G382" s="9"/>
    </row>
    <row r="383" customFormat="false" ht="15" hidden="false" customHeight="false" outlineLevel="0" collapsed="false">
      <c r="A383" s="6" t="str">
        <f aca="false">IF(B383="","",ROW()-3)</f>
        <v/>
      </c>
      <c r="B383" s="7"/>
      <c r="C383" s="8"/>
      <c r="D383" s="9"/>
      <c r="E383" s="10"/>
      <c r="F383" s="9"/>
      <c r="G383" s="9"/>
    </row>
    <row r="384" customFormat="false" ht="15" hidden="false" customHeight="false" outlineLevel="0" collapsed="false">
      <c r="A384" s="6" t="str">
        <f aca="false">IF(B384="","",ROW()-3)</f>
        <v/>
      </c>
      <c r="B384" s="7"/>
      <c r="C384" s="8"/>
      <c r="D384" s="9"/>
      <c r="E384" s="10"/>
      <c r="F384" s="9"/>
      <c r="G384" s="9"/>
    </row>
    <row r="385" customFormat="false" ht="15" hidden="false" customHeight="false" outlineLevel="0" collapsed="false">
      <c r="A385" s="6" t="str">
        <f aca="false">IF(B385="","",ROW()-3)</f>
        <v/>
      </c>
      <c r="B385" s="7"/>
      <c r="C385" s="8"/>
      <c r="D385" s="9"/>
      <c r="E385" s="10"/>
      <c r="F385" s="9"/>
      <c r="G385" s="9"/>
    </row>
    <row r="386" customFormat="false" ht="15" hidden="false" customHeight="false" outlineLevel="0" collapsed="false">
      <c r="A386" s="6" t="str">
        <f aca="false">IF(B386="","",ROW()-3)</f>
        <v/>
      </c>
      <c r="B386" s="7"/>
      <c r="C386" s="8"/>
      <c r="D386" s="9"/>
      <c r="E386" s="10"/>
      <c r="F386" s="9"/>
      <c r="G386" s="9"/>
    </row>
    <row r="387" customFormat="false" ht="15" hidden="false" customHeight="false" outlineLevel="0" collapsed="false">
      <c r="A387" s="6" t="str">
        <f aca="false">IF(B387="","",ROW()-3)</f>
        <v/>
      </c>
      <c r="B387" s="7"/>
      <c r="C387" s="8"/>
      <c r="D387" s="9"/>
      <c r="E387" s="10"/>
      <c r="F387" s="9"/>
      <c r="G387" s="9"/>
    </row>
    <row r="388" customFormat="false" ht="15" hidden="false" customHeight="false" outlineLevel="0" collapsed="false">
      <c r="A388" s="6" t="str">
        <f aca="false">IF(B388="","",ROW()-3)</f>
        <v/>
      </c>
      <c r="B388" s="7"/>
      <c r="C388" s="8"/>
      <c r="D388" s="9"/>
      <c r="E388" s="10"/>
      <c r="F388" s="9"/>
      <c r="G388" s="9"/>
    </row>
    <row r="389" customFormat="false" ht="15" hidden="false" customHeight="false" outlineLevel="0" collapsed="false">
      <c r="A389" s="6" t="str">
        <f aca="false">IF(B389="","",ROW()-3)</f>
        <v/>
      </c>
      <c r="B389" s="7"/>
      <c r="C389" s="8"/>
      <c r="D389" s="9"/>
      <c r="E389" s="10"/>
      <c r="F389" s="9"/>
      <c r="G389" s="9"/>
    </row>
    <row r="390" customFormat="false" ht="15" hidden="false" customHeight="false" outlineLevel="0" collapsed="false">
      <c r="A390" s="6" t="str">
        <f aca="false">IF(B390="","",ROW()-3)</f>
        <v/>
      </c>
      <c r="B390" s="7"/>
      <c r="C390" s="8"/>
      <c r="D390" s="9"/>
      <c r="E390" s="10"/>
      <c r="F390" s="9"/>
      <c r="G390" s="9"/>
    </row>
    <row r="391" customFormat="false" ht="15" hidden="false" customHeight="false" outlineLevel="0" collapsed="false">
      <c r="A391" s="6" t="str">
        <f aca="false">IF(B391="","",ROW()-3)</f>
        <v/>
      </c>
      <c r="B391" s="7"/>
      <c r="C391" s="8"/>
      <c r="D391" s="9"/>
      <c r="E391" s="10"/>
      <c r="F391" s="9"/>
      <c r="G391" s="9"/>
    </row>
    <row r="392" customFormat="false" ht="15" hidden="false" customHeight="false" outlineLevel="0" collapsed="false">
      <c r="A392" s="6" t="str">
        <f aca="false">IF(B392="","",ROW()-3)</f>
        <v/>
      </c>
      <c r="B392" s="7"/>
      <c r="C392" s="8"/>
      <c r="D392" s="9"/>
      <c r="E392" s="10"/>
      <c r="F392" s="9"/>
      <c r="G392" s="9"/>
    </row>
    <row r="393" customFormat="false" ht="15" hidden="false" customHeight="false" outlineLevel="0" collapsed="false">
      <c r="A393" s="6" t="str">
        <f aca="false">IF(B393="","",ROW()-3)</f>
        <v/>
      </c>
      <c r="B393" s="7"/>
      <c r="C393" s="8"/>
      <c r="D393" s="9"/>
      <c r="E393" s="10"/>
      <c r="F393" s="9"/>
      <c r="G393" s="9"/>
    </row>
    <row r="394" customFormat="false" ht="15" hidden="false" customHeight="false" outlineLevel="0" collapsed="false">
      <c r="A394" s="6" t="str">
        <f aca="false">IF(B394="","",ROW()-3)</f>
        <v/>
      </c>
      <c r="B394" s="7"/>
      <c r="C394" s="8"/>
      <c r="D394" s="9"/>
      <c r="E394" s="10"/>
      <c r="F394" s="9"/>
      <c r="G394" s="9"/>
    </row>
    <row r="395" customFormat="false" ht="15" hidden="false" customHeight="false" outlineLevel="0" collapsed="false">
      <c r="A395" s="6" t="str">
        <f aca="false">IF(B395="","",ROW()-3)</f>
        <v/>
      </c>
      <c r="B395" s="7"/>
      <c r="C395" s="8"/>
      <c r="D395" s="9"/>
      <c r="E395" s="10"/>
      <c r="F395" s="9"/>
      <c r="G395" s="9"/>
    </row>
    <row r="396" customFormat="false" ht="15" hidden="false" customHeight="false" outlineLevel="0" collapsed="false">
      <c r="A396" s="6" t="str">
        <f aca="false">IF(B396="","",ROW()-3)</f>
        <v/>
      </c>
      <c r="B396" s="7"/>
      <c r="C396" s="8"/>
      <c r="D396" s="9"/>
      <c r="E396" s="10"/>
      <c r="F396" s="9"/>
      <c r="G396" s="9"/>
    </row>
    <row r="397" customFormat="false" ht="15" hidden="false" customHeight="false" outlineLevel="0" collapsed="false">
      <c r="A397" s="6" t="str">
        <f aca="false">IF(B397="","",ROW()-3)</f>
        <v/>
      </c>
      <c r="B397" s="7"/>
      <c r="C397" s="8"/>
      <c r="D397" s="9"/>
      <c r="E397" s="10"/>
      <c r="F397" s="9"/>
      <c r="G397" s="9"/>
    </row>
    <row r="398" customFormat="false" ht="15" hidden="false" customHeight="false" outlineLevel="0" collapsed="false">
      <c r="A398" s="6" t="str">
        <f aca="false">IF(B398="","",ROW()-3)</f>
        <v/>
      </c>
      <c r="B398" s="7"/>
      <c r="C398" s="8"/>
      <c r="D398" s="9"/>
      <c r="E398" s="10"/>
      <c r="F398" s="9"/>
      <c r="G398" s="9"/>
    </row>
    <row r="399" customFormat="false" ht="15" hidden="false" customHeight="false" outlineLevel="0" collapsed="false">
      <c r="A399" s="6" t="str">
        <f aca="false">IF(B399="","",ROW()-3)</f>
        <v/>
      </c>
      <c r="B399" s="7"/>
      <c r="C399" s="8"/>
      <c r="D399" s="9"/>
      <c r="E399" s="10"/>
      <c r="F399" s="9"/>
      <c r="G399" s="9"/>
    </row>
    <row r="400" customFormat="false" ht="15" hidden="false" customHeight="false" outlineLevel="0" collapsed="false">
      <c r="A400" s="6" t="str">
        <f aca="false">IF(B400="","",ROW()-3)</f>
        <v/>
      </c>
      <c r="B400" s="7"/>
      <c r="C400" s="8"/>
      <c r="D400" s="9"/>
      <c r="E400" s="10"/>
      <c r="F400" s="9"/>
      <c r="G400" s="9"/>
    </row>
    <row r="401" customFormat="false" ht="15" hidden="false" customHeight="false" outlineLevel="0" collapsed="false">
      <c r="A401" s="6" t="str">
        <f aca="false">IF(B401="","",ROW()-3)</f>
        <v/>
      </c>
      <c r="B401" s="7"/>
      <c r="C401" s="8"/>
      <c r="D401" s="9"/>
      <c r="E401" s="10"/>
      <c r="F401" s="9"/>
      <c r="G401" s="9"/>
    </row>
    <row r="402" customFormat="false" ht="15" hidden="false" customHeight="false" outlineLevel="0" collapsed="false">
      <c r="A402" s="6" t="str">
        <f aca="false">IF(B402="","",ROW()-3)</f>
        <v/>
      </c>
      <c r="B402" s="7"/>
      <c r="C402" s="8"/>
      <c r="D402" s="9"/>
      <c r="E402" s="10"/>
      <c r="F402" s="9"/>
      <c r="G402" s="9"/>
    </row>
    <row r="403" customFormat="false" ht="15" hidden="false" customHeight="false" outlineLevel="0" collapsed="false">
      <c r="A403" s="6" t="str">
        <f aca="false">IF(B403="","",ROW()-3)</f>
        <v/>
      </c>
      <c r="B403" s="7"/>
      <c r="C403" s="8"/>
      <c r="D403" s="9"/>
      <c r="E403" s="10"/>
      <c r="F403" s="9"/>
      <c r="G403" s="9"/>
    </row>
    <row r="404" customFormat="false" ht="15" hidden="false" customHeight="false" outlineLevel="0" collapsed="false">
      <c r="A404" s="6" t="str">
        <f aca="false">IF(B404="","",ROW()-3)</f>
        <v/>
      </c>
      <c r="B404" s="7"/>
      <c r="C404" s="8"/>
      <c r="D404" s="9"/>
      <c r="E404" s="10"/>
      <c r="F404" s="9"/>
      <c r="G404" s="9"/>
    </row>
    <row r="405" customFormat="false" ht="15" hidden="false" customHeight="false" outlineLevel="0" collapsed="false">
      <c r="A405" s="6" t="str">
        <f aca="false">IF(B405="","",ROW()-3)</f>
        <v/>
      </c>
      <c r="B405" s="7"/>
      <c r="C405" s="8"/>
      <c r="D405" s="9"/>
      <c r="E405" s="10"/>
      <c r="F405" s="9"/>
      <c r="G405" s="9"/>
    </row>
    <row r="406" customFormat="false" ht="15" hidden="false" customHeight="false" outlineLevel="0" collapsed="false">
      <c r="A406" s="6" t="str">
        <f aca="false">IF(B406="","",ROW()-3)</f>
        <v/>
      </c>
      <c r="B406" s="7"/>
      <c r="C406" s="8"/>
      <c r="D406" s="9"/>
      <c r="E406" s="10"/>
      <c r="F406" s="9"/>
      <c r="G406" s="9"/>
    </row>
    <row r="407" customFormat="false" ht="15" hidden="false" customHeight="false" outlineLevel="0" collapsed="false">
      <c r="A407" s="6" t="str">
        <f aca="false">IF(B407="","",ROW()-3)</f>
        <v/>
      </c>
      <c r="B407" s="7"/>
      <c r="C407" s="8"/>
      <c r="D407" s="9"/>
      <c r="E407" s="10"/>
      <c r="F407" s="9"/>
      <c r="G407" s="9"/>
    </row>
    <row r="408" customFormat="false" ht="15" hidden="false" customHeight="false" outlineLevel="0" collapsed="false">
      <c r="A408" s="6" t="str">
        <f aca="false">IF(B408="","",ROW()-3)</f>
        <v/>
      </c>
      <c r="B408" s="7"/>
      <c r="C408" s="8"/>
      <c r="D408" s="9"/>
      <c r="E408" s="10"/>
      <c r="F408" s="9"/>
      <c r="G408" s="9"/>
    </row>
    <row r="409" customFormat="false" ht="15" hidden="false" customHeight="false" outlineLevel="0" collapsed="false">
      <c r="A409" s="6" t="str">
        <f aca="false">IF(B409="","",ROW()-3)</f>
        <v/>
      </c>
      <c r="B409" s="7"/>
      <c r="C409" s="8"/>
      <c r="D409" s="9"/>
      <c r="E409" s="10"/>
      <c r="F409" s="9"/>
      <c r="G409" s="9"/>
    </row>
    <row r="410" customFormat="false" ht="15" hidden="false" customHeight="false" outlineLevel="0" collapsed="false">
      <c r="A410" s="6" t="str">
        <f aca="false">IF(B410="","",ROW()-3)</f>
        <v/>
      </c>
      <c r="B410" s="7"/>
      <c r="C410" s="8"/>
      <c r="D410" s="9"/>
      <c r="E410" s="10"/>
      <c r="F410" s="9"/>
      <c r="G410" s="9"/>
    </row>
    <row r="411" customFormat="false" ht="15" hidden="false" customHeight="false" outlineLevel="0" collapsed="false">
      <c r="A411" s="6" t="str">
        <f aca="false">IF(B411="","",ROW()-3)</f>
        <v/>
      </c>
      <c r="B411" s="7"/>
      <c r="C411" s="8"/>
      <c r="D411" s="9"/>
      <c r="E411" s="10"/>
      <c r="F411" s="9"/>
      <c r="G411" s="9"/>
    </row>
    <row r="412" customFormat="false" ht="15" hidden="false" customHeight="false" outlineLevel="0" collapsed="false">
      <c r="A412" s="6" t="str">
        <f aca="false">IF(B412="","",ROW()-3)</f>
        <v/>
      </c>
      <c r="B412" s="7"/>
      <c r="C412" s="8"/>
      <c r="D412" s="9"/>
      <c r="E412" s="10"/>
      <c r="F412" s="9"/>
      <c r="G412" s="9"/>
    </row>
    <row r="413" customFormat="false" ht="15" hidden="false" customHeight="false" outlineLevel="0" collapsed="false">
      <c r="A413" s="6" t="str">
        <f aca="false">IF(B413="","",ROW()-3)</f>
        <v/>
      </c>
      <c r="B413" s="7"/>
      <c r="C413" s="8"/>
      <c r="D413" s="9"/>
      <c r="E413" s="10"/>
      <c r="F413" s="9"/>
      <c r="G413" s="9"/>
    </row>
    <row r="414" customFormat="false" ht="15" hidden="false" customHeight="false" outlineLevel="0" collapsed="false">
      <c r="A414" s="6" t="str">
        <f aca="false">IF(B414="","",ROW()-3)</f>
        <v/>
      </c>
      <c r="B414" s="7"/>
      <c r="C414" s="8"/>
      <c r="D414" s="9"/>
      <c r="E414" s="10"/>
      <c r="F414" s="9"/>
      <c r="G414" s="9"/>
    </row>
    <row r="415" customFormat="false" ht="15" hidden="false" customHeight="false" outlineLevel="0" collapsed="false">
      <c r="A415" s="6" t="str">
        <f aca="false">IF(B415="","",ROW()-3)</f>
        <v/>
      </c>
      <c r="B415" s="7"/>
      <c r="C415" s="8"/>
      <c r="D415" s="9"/>
      <c r="E415" s="10"/>
      <c r="F415" s="9"/>
      <c r="G415" s="9"/>
    </row>
    <row r="416" customFormat="false" ht="15" hidden="false" customHeight="false" outlineLevel="0" collapsed="false">
      <c r="A416" s="6" t="str">
        <f aca="false">IF(B416="","",ROW()-3)</f>
        <v/>
      </c>
      <c r="B416" s="7"/>
      <c r="C416" s="8"/>
      <c r="D416" s="9"/>
      <c r="E416" s="10"/>
      <c r="F416" s="9"/>
      <c r="G416" s="9"/>
    </row>
    <row r="417" customFormat="false" ht="15" hidden="false" customHeight="false" outlineLevel="0" collapsed="false">
      <c r="A417" s="6" t="str">
        <f aca="false">IF(B417="","",ROW()-3)</f>
        <v/>
      </c>
      <c r="B417" s="7"/>
      <c r="C417" s="8"/>
      <c r="D417" s="9"/>
      <c r="E417" s="10"/>
      <c r="F417" s="9"/>
      <c r="G417" s="9"/>
    </row>
    <row r="418" customFormat="false" ht="15" hidden="false" customHeight="false" outlineLevel="0" collapsed="false">
      <c r="A418" s="6" t="str">
        <f aca="false">IF(B418="","",ROW()-3)</f>
        <v/>
      </c>
      <c r="B418" s="7"/>
      <c r="C418" s="8"/>
      <c r="D418" s="9"/>
      <c r="E418" s="10"/>
      <c r="F418" s="9"/>
      <c r="G418" s="9"/>
    </row>
    <row r="419" customFormat="false" ht="15" hidden="false" customHeight="false" outlineLevel="0" collapsed="false">
      <c r="A419" s="6" t="str">
        <f aca="false">IF(B419="","",ROW()-3)</f>
        <v/>
      </c>
      <c r="B419" s="7"/>
      <c r="C419" s="8"/>
      <c r="D419" s="9"/>
      <c r="E419" s="10"/>
      <c r="F419" s="9"/>
      <c r="G419" s="9"/>
    </row>
    <row r="420" customFormat="false" ht="15" hidden="false" customHeight="false" outlineLevel="0" collapsed="false">
      <c r="A420" s="6" t="str">
        <f aca="false">IF(B420="","",ROW()-3)</f>
        <v/>
      </c>
      <c r="B420" s="7"/>
      <c r="C420" s="8"/>
      <c r="D420" s="9"/>
      <c r="E420" s="10"/>
      <c r="F420" s="9"/>
      <c r="G420" s="9"/>
    </row>
    <row r="421" customFormat="false" ht="15" hidden="false" customHeight="false" outlineLevel="0" collapsed="false">
      <c r="A421" s="6" t="str">
        <f aca="false">IF(B421="","",ROW()-3)</f>
        <v/>
      </c>
      <c r="B421" s="7"/>
      <c r="C421" s="8"/>
      <c r="D421" s="9"/>
      <c r="E421" s="10"/>
      <c r="F421" s="9"/>
      <c r="G421" s="9"/>
    </row>
    <row r="422" customFormat="false" ht="15" hidden="false" customHeight="false" outlineLevel="0" collapsed="false">
      <c r="A422" s="6" t="str">
        <f aca="false">IF(B422="","",ROW()-3)</f>
        <v/>
      </c>
      <c r="B422" s="7"/>
      <c r="C422" s="8"/>
      <c r="D422" s="9"/>
      <c r="E422" s="10"/>
      <c r="F422" s="9"/>
      <c r="G422" s="9"/>
    </row>
    <row r="423" customFormat="false" ht="15" hidden="false" customHeight="false" outlineLevel="0" collapsed="false">
      <c r="A423" s="6" t="str">
        <f aca="false">IF(B423="","",ROW()-3)</f>
        <v/>
      </c>
      <c r="B423" s="7"/>
      <c r="C423" s="8"/>
      <c r="D423" s="9"/>
      <c r="E423" s="10"/>
      <c r="F423" s="9"/>
      <c r="G423" s="9"/>
    </row>
    <row r="424" customFormat="false" ht="15" hidden="false" customHeight="false" outlineLevel="0" collapsed="false">
      <c r="A424" s="6" t="str">
        <f aca="false">IF(B424="","",ROW()-3)</f>
        <v/>
      </c>
      <c r="B424" s="7"/>
      <c r="C424" s="8"/>
      <c r="D424" s="9"/>
      <c r="E424" s="10"/>
      <c r="F424" s="9"/>
      <c r="G424" s="9"/>
    </row>
    <row r="425" customFormat="false" ht="15" hidden="false" customHeight="false" outlineLevel="0" collapsed="false">
      <c r="A425" s="6" t="str">
        <f aca="false">IF(B425="","",ROW()-3)</f>
        <v/>
      </c>
      <c r="B425" s="7"/>
      <c r="C425" s="8"/>
      <c r="D425" s="9"/>
      <c r="E425" s="10"/>
      <c r="F425" s="9"/>
      <c r="G425" s="9"/>
    </row>
    <row r="426" customFormat="false" ht="15" hidden="false" customHeight="false" outlineLevel="0" collapsed="false">
      <c r="A426" s="6" t="str">
        <f aca="false">IF(B426="","",ROW()-3)</f>
        <v/>
      </c>
      <c r="B426" s="7"/>
      <c r="C426" s="8"/>
      <c r="D426" s="9"/>
      <c r="E426" s="10"/>
      <c r="F426" s="9"/>
      <c r="G426" s="9"/>
    </row>
    <row r="427" customFormat="false" ht="15" hidden="false" customHeight="false" outlineLevel="0" collapsed="false">
      <c r="A427" s="6" t="str">
        <f aca="false">IF(B427="","",ROW()-3)</f>
        <v/>
      </c>
      <c r="B427" s="7"/>
      <c r="C427" s="8"/>
      <c r="D427" s="9"/>
      <c r="E427" s="10"/>
      <c r="F427" s="9"/>
      <c r="G427" s="9"/>
    </row>
    <row r="428" customFormat="false" ht="15" hidden="false" customHeight="false" outlineLevel="0" collapsed="false">
      <c r="A428" s="6" t="str">
        <f aca="false">IF(B428="","",ROW()-3)</f>
        <v/>
      </c>
      <c r="B428" s="7"/>
      <c r="C428" s="8"/>
      <c r="D428" s="9"/>
      <c r="E428" s="10"/>
      <c r="F428" s="9"/>
      <c r="G428" s="9"/>
    </row>
    <row r="429" customFormat="false" ht="15" hidden="false" customHeight="false" outlineLevel="0" collapsed="false">
      <c r="A429" s="6" t="str">
        <f aca="false">IF(B429="","",ROW()-3)</f>
        <v/>
      </c>
      <c r="B429" s="7"/>
      <c r="C429" s="8"/>
      <c r="D429" s="9"/>
      <c r="E429" s="10"/>
      <c r="F429" s="9"/>
      <c r="G429" s="9"/>
    </row>
    <row r="430" customFormat="false" ht="15" hidden="false" customHeight="false" outlineLevel="0" collapsed="false">
      <c r="A430" s="6" t="str">
        <f aca="false">IF(B430="","",ROW()-3)</f>
        <v/>
      </c>
      <c r="B430" s="7"/>
      <c r="C430" s="8"/>
      <c r="D430" s="9"/>
      <c r="E430" s="10"/>
      <c r="F430" s="9"/>
      <c r="G430" s="9"/>
    </row>
    <row r="431" customFormat="false" ht="15" hidden="false" customHeight="false" outlineLevel="0" collapsed="false">
      <c r="A431" s="6" t="str">
        <f aca="false">IF(B431="","",ROW()-3)</f>
        <v/>
      </c>
      <c r="B431" s="7"/>
      <c r="C431" s="8"/>
      <c r="D431" s="9"/>
      <c r="E431" s="10"/>
      <c r="F431" s="9"/>
      <c r="G431" s="9"/>
    </row>
    <row r="432" customFormat="false" ht="15" hidden="false" customHeight="false" outlineLevel="0" collapsed="false">
      <c r="A432" s="6" t="str">
        <f aca="false">IF(B432="","",ROW()-3)</f>
        <v/>
      </c>
      <c r="B432" s="7"/>
      <c r="C432" s="8"/>
      <c r="D432" s="9"/>
      <c r="E432" s="10"/>
      <c r="F432" s="9"/>
      <c r="G432" s="9"/>
    </row>
    <row r="433" customFormat="false" ht="15" hidden="false" customHeight="false" outlineLevel="0" collapsed="false">
      <c r="A433" s="6" t="str">
        <f aca="false">IF(B433="","",ROW()-3)</f>
        <v/>
      </c>
      <c r="B433" s="7"/>
      <c r="C433" s="8"/>
      <c r="D433" s="9"/>
      <c r="E433" s="10"/>
      <c r="F433" s="9"/>
      <c r="G433" s="9"/>
    </row>
    <row r="434" customFormat="false" ht="15" hidden="false" customHeight="false" outlineLevel="0" collapsed="false">
      <c r="A434" s="6" t="str">
        <f aca="false">IF(B434="","",ROW()-3)</f>
        <v/>
      </c>
      <c r="B434" s="7"/>
      <c r="C434" s="8"/>
      <c r="D434" s="9"/>
      <c r="E434" s="10"/>
      <c r="F434" s="9"/>
      <c r="G434" s="9"/>
    </row>
    <row r="435" customFormat="false" ht="15" hidden="false" customHeight="false" outlineLevel="0" collapsed="false">
      <c r="A435" s="6" t="str">
        <f aca="false">IF(B435="","",ROW()-3)</f>
        <v/>
      </c>
      <c r="B435" s="7"/>
      <c r="C435" s="8"/>
      <c r="D435" s="9"/>
      <c r="E435" s="10"/>
      <c r="F435" s="9"/>
      <c r="G435" s="9"/>
    </row>
    <row r="436" customFormat="false" ht="15" hidden="false" customHeight="false" outlineLevel="0" collapsed="false">
      <c r="A436" s="6" t="str">
        <f aca="false">IF(B436="","",ROW()-3)</f>
        <v/>
      </c>
      <c r="B436" s="7"/>
      <c r="C436" s="8"/>
      <c r="D436" s="9"/>
      <c r="E436" s="10"/>
      <c r="F436" s="9"/>
      <c r="G436" s="9"/>
    </row>
    <row r="437" customFormat="false" ht="15" hidden="false" customHeight="false" outlineLevel="0" collapsed="false">
      <c r="A437" s="6" t="str">
        <f aca="false">IF(B437="","",ROW()-3)</f>
        <v/>
      </c>
      <c r="B437" s="7"/>
      <c r="C437" s="8"/>
      <c r="D437" s="9"/>
      <c r="E437" s="10"/>
      <c r="F437" s="9"/>
      <c r="G437" s="9"/>
    </row>
    <row r="438" customFormat="false" ht="15" hidden="false" customHeight="false" outlineLevel="0" collapsed="false">
      <c r="A438" s="6" t="str">
        <f aca="false">IF(B438="","",ROW()-3)</f>
        <v/>
      </c>
      <c r="B438" s="7"/>
      <c r="C438" s="8"/>
      <c r="D438" s="9"/>
      <c r="E438" s="10"/>
      <c r="F438" s="9"/>
      <c r="G438" s="9"/>
    </row>
    <row r="439" customFormat="false" ht="15" hidden="false" customHeight="false" outlineLevel="0" collapsed="false">
      <c r="A439" s="6" t="str">
        <f aca="false">IF(B439="","",ROW()-3)</f>
        <v/>
      </c>
      <c r="B439" s="7"/>
      <c r="C439" s="8"/>
      <c r="D439" s="9"/>
      <c r="E439" s="10"/>
      <c r="F439" s="9"/>
      <c r="G439" s="9"/>
    </row>
    <row r="440" customFormat="false" ht="15" hidden="false" customHeight="false" outlineLevel="0" collapsed="false">
      <c r="A440" s="6" t="str">
        <f aca="false">IF(B440="","",ROW()-3)</f>
        <v/>
      </c>
      <c r="B440" s="7"/>
      <c r="C440" s="8"/>
      <c r="D440" s="9"/>
      <c r="E440" s="10"/>
      <c r="F440" s="9"/>
      <c r="G440" s="9"/>
    </row>
    <row r="441" customFormat="false" ht="15" hidden="false" customHeight="false" outlineLevel="0" collapsed="false">
      <c r="A441" s="6" t="str">
        <f aca="false">IF(B441="","",ROW()-3)</f>
        <v/>
      </c>
      <c r="B441" s="7"/>
      <c r="C441" s="8"/>
      <c r="D441" s="9"/>
      <c r="E441" s="10"/>
      <c r="F441" s="9"/>
      <c r="G441" s="9"/>
    </row>
    <row r="442" customFormat="false" ht="15" hidden="false" customHeight="false" outlineLevel="0" collapsed="false">
      <c r="A442" s="6" t="str">
        <f aca="false">IF(B442="","",ROW()-3)</f>
        <v/>
      </c>
      <c r="B442" s="7"/>
      <c r="C442" s="8"/>
      <c r="D442" s="9"/>
      <c r="E442" s="10"/>
      <c r="F442" s="9"/>
      <c r="G442" s="9"/>
    </row>
    <row r="443" customFormat="false" ht="15" hidden="false" customHeight="false" outlineLevel="0" collapsed="false">
      <c r="A443" s="6" t="str">
        <f aca="false">IF(B443="","",ROW()-3)</f>
        <v/>
      </c>
      <c r="B443" s="7"/>
      <c r="C443" s="8"/>
      <c r="D443" s="9"/>
      <c r="E443" s="10"/>
      <c r="F443" s="9"/>
      <c r="G443" s="9"/>
    </row>
    <row r="444" customFormat="false" ht="15" hidden="false" customHeight="false" outlineLevel="0" collapsed="false">
      <c r="A444" s="6" t="str">
        <f aca="false">IF(B444="","",ROW()-3)</f>
        <v/>
      </c>
      <c r="B444" s="7"/>
      <c r="C444" s="8"/>
      <c r="D444" s="9"/>
      <c r="E444" s="10"/>
      <c r="F444" s="9"/>
      <c r="G444" s="9"/>
    </row>
    <row r="445" customFormat="false" ht="15" hidden="false" customHeight="false" outlineLevel="0" collapsed="false">
      <c r="A445" s="6" t="str">
        <f aca="false">IF(B445="","",ROW()-3)</f>
        <v/>
      </c>
      <c r="B445" s="7"/>
      <c r="C445" s="8"/>
      <c r="D445" s="9"/>
      <c r="E445" s="10"/>
      <c r="F445" s="9"/>
      <c r="G445" s="9"/>
    </row>
    <row r="446" customFormat="false" ht="15" hidden="false" customHeight="false" outlineLevel="0" collapsed="false">
      <c r="A446" s="6" t="str">
        <f aca="false">IF(B446="","",ROW()-3)</f>
        <v/>
      </c>
      <c r="B446" s="7"/>
      <c r="C446" s="8"/>
      <c r="D446" s="9"/>
      <c r="E446" s="10"/>
      <c r="F446" s="9"/>
      <c r="G446" s="9"/>
    </row>
    <row r="447" customFormat="false" ht="15" hidden="false" customHeight="false" outlineLevel="0" collapsed="false">
      <c r="A447" s="6" t="str">
        <f aca="false">IF(B447="","",ROW()-3)</f>
        <v/>
      </c>
      <c r="B447" s="7"/>
      <c r="C447" s="8"/>
      <c r="D447" s="9"/>
      <c r="E447" s="10"/>
      <c r="F447" s="9"/>
      <c r="G447" s="9"/>
    </row>
    <row r="448" customFormat="false" ht="15" hidden="false" customHeight="false" outlineLevel="0" collapsed="false">
      <c r="A448" s="6" t="str">
        <f aca="false">IF(B448="","",ROW()-3)</f>
        <v/>
      </c>
      <c r="B448" s="7"/>
      <c r="C448" s="8"/>
      <c r="D448" s="9"/>
      <c r="E448" s="10"/>
      <c r="F448" s="9"/>
      <c r="G448" s="9"/>
    </row>
    <row r="449" customFormat="false" ht="15" hidden="false" customHeight="false" outlineLevel="0" collapsed="false">
      <c r="A449" s="6" t="str">
        <f aca="false">IF(B449="","",ROW()-3)</f>
        <v/>
      </c>
      <c r="B449" s="7"/>
      <c r="C449" s="8"/>
      <c r="D449" s="9"/>
      <c r="E449" s="10"/>
      <c r="F449" s="9"/>
      <c r="G449" s="9"/>
    </row>
    <row r="450" customFormat="false" ht="15" hidden="false" customHeight="false" outlineLevel="0" collapsed="false">
      <c r="A450" s="6" t="str">
        <f aca="false">IF(B450="","",ROW()-3)</f>
        <v/>
      </c>
      <c r="B450" s="7"/>
      <c r="C450" s="8"/>
      <c r="D450" s="9"/>
      <c r="E450" s="10"/>
      <c r="F450" s="9"/>
      <c r="G450" s="9"/>
    </row>
    <row r="451" customFormat="false" ht="15" hidden="false" customHeight="false" outlineLevel="0" collapsed="false">
      <c r="A451" s="6" t="str">
        <f aca="false">IF(B451="","",ROW()-3)</f>
        <v/>
      </c>
      <c r="B451" s="7"/>
      <c r="C451" s="8"/>
      <c r="D451" s="9"/>
      <c r="E451" s="10"/>
      <c r="F451" s="9"/>
      <c r="G451" s="9"/>
    </row>
    <row r="452" customFormat="false" ht="15" hidden="false" customHeight="false" outlineLevel="0" collapsed="false">
      <c r="A452" s="6" t="str">
        <f aca="false">IF(B452="","",ROW()-3)</f>
        <v/>
      </c>
      <c r="B452" s="7"/>
      <c r="C452" s="8"/>
      <c r="D452" s="9"/>
      <c r="E452" s="10"/>
      <c r="F452" s="9"/>
      <c r="G452" s="9"/>
    </row>
    <row r="453" customFormat="false" ht="15" hidden="false" customHeight="false" outlineLevel="0" collapsed="false">
      <c r="A453" s="6" t="str">
        <f aca="false">IF(B453="","",ROW()-3)</f>
        <v/>
      </c>
      <c r="B453" s="7"/>
      <c r="C453" s="8"/>
      <c r="D453" s="9"/>
      <c r="E453" s="10"/>
      <c r="F453" s="9"/>
      <c r="G453" s="9"/>
    </row>
    <row r="454" customFormat="false" ht="15" hidden="false" customHeight="false" outlineLevel="0" collapsed="false">
      <c r="A454" s="6" t="str">
        <f aca="false">IF(B454="","",ROW()-3)</f>
        <v/>
      </c>
      <c r="B454" s="7"/>
      <c r="C454" s="8"/>
      <c r="D454" s="9"/>
      <c r="E454" s="10"/>
      <c r="F454" s="9"/>
      <c r="G454" s="9"/>
    </row>
    <row r="455" customFormat="false" ht="15" hidden="false" customHeight="false" outlineLevel="0" collapsed="false">
      <c r="A455" s="6" t="str">
        <f aca="false">IF(B455="","",ROW()-3)</f>
        <v/>
      </c>
      <c r="B455" s="7"/>
      <c r="C455" s="8"/>
      <c r="D455" s="9"/>
      <c r="E455" s="10"/>
      <c r="F455" s="9"/>
      <c r="G455" s="9"/>
    </row>
    <row r="456" customFormat="false" ht="15" hidden="false" customHeight="false" outlineLevel="0" collapsed="false">
      <c r="A456" s="6" t="str">
        <f aca="false">IF(B456="","",ROW()-3)</f>
        <v/>
      </c>
      <c r="B456" s="7"/>
      <c r="C456" s="8"/>
      <c r="D456" s="9"/>
      <c r="E456" s="10"/>
      <c r="F456" s="9"/>
      <c r="G456" s="9"/>
    </row>
    <row r="457" customFormat="false" ht="15" hidden="false" customHeight="false" outlineLevel="0" collapsed="false">
      <c r="A457" s="6" t="str">
        <f aca="false">IF(B457="","",ROW()-3)</f>
        <v/>
      </c>
      <c r="B457" s="7"/>
      <c r="C457" s="8"/>
      <c r="D457" s="9"/>
      <c r="E457" s="10"/>
      <c r="F457" s="9"/>
      <c r="G457" s="9"/>
    </row>
    <row r="458" customFormat="false" ht="15" hidden="false" customHeight="false" outlineLevel="0" collapsed="false">
      <c r="A458" s="6" t="str">
        <f aca="false">IF(B458="","",ROW()-3)</f>
        <v/>
      </c>
      <c r="B458" s="7"/>
      <c r="C458" s="8"/>
      <c r="D458" s="9"/>
      <c r="E458" s="10"/>
      <c r="F458" s="9"/>
      <c r="G458" s="9"/>
    </row>
    <row r="459" customFormat="false" ht="15" hidden="false" customHeight="false" outlineLevel="0" collapsed="false">
      <c r="A459" s="6" t="str">
        <f aca="false">IF(B459="","",ROW()-3)</f>
        <v/>
      </c>
      <c r="B459" s="7"/>
      <c r="C459" s="8"/>
      <c r="D459" s="9"/>
      <c r="E459" s="10"/>
      <c r="F459" s="9"/>
      <c r="G459" s="9"/>
    </row>
    <row r="460" customFormat="false" ht="15" hidden="false" customHeight="false" outlineLevel="0" collapsed="false">
      <c r="A460" s="6" t="str">
        <f aca="false">IF(B460="","",ROW()-3)</f>
        <v/>
      </c>
      <c r="B460" s="7"/>
      <c r="C460" s="8"/>
      <c r="D460" s="9"/>
      <c r="E460" s="10"/>
      <c r="F460" s="9"/>
      <c r="G460" s="9"/>
    </row>
    <row r="461" customFormat="false" ht="15" hidden="false" customHeight="false" outlineLevel="0" collapsed="false">
      <c r="A461" s="6" t="str">
        <f aca="false">IF(B461="","",ROW()-3)</f>
        <v/>
      </c>
      <c r="B461" s="7"/>
      <c r="C461" s="8"/>
      <c r="D461" s="9"/>
      <c r="E461" s="10"/>
      <c r="F461" s="9"/>
      <c r="G461" s="9"/>
    </row>
    <row r="462" customFormat="false" ht="15" hidden="false" customHeight="false" outlineLevel="0" collapsed="false">
      <c r="A462" s="6" t="str">
        <f aca="false">IF(B462="","",ROW()-3)</f>
        <v/>
      </c>
      <c r="B462" s="7"/>
      <c r="C462" s="8"/>
      <c r="D462" s="9"/>
      <c r="E462" s="10"/>
      <c r="F462" s="9"/>
      <c r="G462" s="9"/>
    </row>
    <row r="463" customFormat="false" ht="15" hidden="false" customHeight="false" outlineLevel="0" collapsed="false">
      <c r="A463" s="6" t="str">
        <f aca="false">IF(B463="","",ROW()-3)</f>
        <v/>
      </c>
      <c r="B463" s="7"/>
      <c r="C463" s="8"/>
      <c r="D463" s="9"/>
      <c r="E463" s="10"/>
      <c r="F463" s="9"/>
      <c r="G463" s="9"/>
    </row>
    <row r="464" customFormat="false" ht="15" hidden="false" customHeight="false" outlineLevel="0" collapsed="false">
      <c r="A464" s="6" t="str">
        <f aca="false">IF(B464="","",ROW()-3)</f>
        <v/>
      </c>
      <c r="B464" s="7"/>
      <c r="C464" s="8"/>
      <c r="D464" s="9"/>
      <c r="E464" s="10"/>
      <c r="F464" s="9"/>
      <c r="G464" s="9"/>
    </row>
    <row r="465" customFormat="false" ht="15" hidden="false" customHeight="false" outlineLevel="0" collapsed="false">
      <c r="A465" s="6" t="str">
        <f aca="false">IF(B465="","",ROW()-3)</f>
        <v/>
      </c>
      <c r="B465" s="7"/>
      <c r="C465" s="8"/>
      <c r="D465" s="9"/>
      <c r="E465" s="10"/>
      <c r="F465" s="9"/>
      <c r="G465" s="9"/>
    </row>
    <row r="466" customFormat="false" ht="15" hidden="false" customHeight="false" outlineLevel="0" collapsed="false">
      <c r="A466" s="6" t="str">
        <f aca="false">IF(B466="","",ROW()-3)</f>
        <v/>
      </c>
      <c r="B466" s="7"/>
      <c r="C466" s="8"/>
      <c r="D466" s="9"/>
      <c r="E466" s="10"/>
      <c r="F466" s="9"/>
      <c r="G466" s="9"/>
    </row>
    <row r="467" customFormat="false" ht="15" hidden="false" customHeight="false" outlineLevel="0" collapsed="false">
      <c r="A467" s="6" t="str">
        <f aca="false">IF(B467="","",ROW()-3)</f>
        <v/>
      </c>
      <c r="B467" s="7"/>
      <c r="C467" s="8"/>
      <c r="D467" s="9"/>
      <c r="E467" s="10"/>
      <c r="F467" s="9"/>
      <c r="G467" s="9"/>
    </row>
    <row r="468" customFormat="false" ht="15" hidden="false" customHeight="false" outlineLevel="0" collapsed="false">
      <c r="A468" s="6" t="str">
        <f aca="false">IF(B468="","",ROW()-3)</f>
        <v/>
      </c>
      <c r="B468" s="7"/>
      <c r="C468" s="8"/>
      <c r="D468" s="9"/>
      <c r="E468" s="10"/>
      <c r="F468" s="9"/>
      <c r="G468" s="9"/>
    </row>
    <row r="469" customFormat="false" ht="15" hidden="false" customHeight="false" outlineLevel="0" collapsed="false">
      <c r="A469" s="6" t="str">
        <f aca="false">IF(B469="","",ROW()-3)</f>
        <v/>
      </c>
      <c r="B469" s="7"/>
      <c r="C469" s="8"/>
      <c r="D469" s="9"/>
      <c r="E469" s="10"/>
      <c r="F469" s="9"/>
      <c r="G469" s="9"/>
    </row>
    <row r="470" customFormat="false" ht="15" hidden="false" customHeight="false" outlineLevel="0" collapsed="false">
      <c r="A470" s="6" t="str">
        <f aca="false">IF(B470="","",ROW()-3)</f>
        <v/>
      </c>
      <c r="B470" s="7"/>
      <c r="C470" s="8"/>
      <c r="D470" s="9"/>
      <c r="E470" s="10"/>
      <c r="F470" s="9"/>
      <c r="G470" s="9"/>
    </row>
    <row r="471" customFormat="false" ht="15" hidden="false" customHeight="false" outlineLevel="0" collapsed="false">
      <c r="A471" s="6" t="str">
        <f aca="false">IF(B471="","",ROW()-3)</f>
        <v/>
      </c>
      <c r="B471" s="7"/>
      <c r="C471" s="8"/>
      <c r="D471" s="9"/>
      <c r="E471" s="10"/>
      <c r="F471" s="9"/>
      <c r="G471" s="9"/>
    </row>
    <row r="472" customFormat="false" ht="15" hidden="false" customHeight="false" outlineLevel="0" collapsed="false">
      <c r="A472" s="6" t="str">
        <f aca="false">IF(B472="","",ROW()-3)</f>
        <v/>
      </c>
      <c r="B472" s="7"/>
      <c r="C472" s="8"/>
      <c r="D472" s="9"/>
      <c r="E472" s="10"/>
      <c r="F472" s="9"/>
      <c r="G472" s="9"/>
    </row>
    <row r="473" customFormat="false" ht="15" hidden="false" customHeight="false" outlineLevel="0" collapsed="false">
      <c r="A473" s="6" t="str">
        <f aca="false">IF(B473="","",ROW()-3)</f>
        <v/>
      </c>
      <c r="B473" s="7"/>
      <c r="C473" s="8"/>
      <c r="D473" s="9"/>
      <c r="E473" s="10"/>
      <c r="F473" s="9"/>
      <c r="G473" s="9"/>
    </row>
    <row r="474" customFormat="false" ht="15" hidden="false" customHeight="false" outlineLevel="0" collapsed="false">
      <c r="A474" s="6" t="str">
        <f aca="false">IF(B474="","",ROW()-3)</f>
        <v/>
      </c>
      <c r="B474" s="7"/>
      <c r="C474" s="8"/>
      <c r="D474" s="9"/>
      <c r="E474" s="10"/>
      <c r="F474" s="9"/>
      <c r="G474" s="9"/>
    </row>
    <row r="475" customFormat="false" ht="15" hidden="false" customHeight="false" outlineLevel="0" collapsed="false">
      <c r="A475" s="6" t="str">
        <f aca="false">IF(B475="","",ROW()-3)</f>
        <v/>
      </c>
      <c r="B475" s="7"/>
      <c r="C475" s="8"/>
      <c r="D475" s="9"/>
      <c r="E475" s="10"/>
      <c r="F475" s="9"/>
      <c r="G475" s="9"/>
    </row>
    <row r="476" customFormat="false" ht="15" hidden="false" customHeight="false" outlineLevel="0" collapsed="false">
      <c r="A476" s="6" t="str">
        <f aca="false">IF(B476="","",ROW()-3)</f>
        <v/>
      </c>
      <c r="B476" s="7"/>
      <c r="C476" s="8"/>
      <c r="D476" s="9"/>
      <c r="E476" s="10"/>
      <c r="F476" s="9"/>
      <c r="G476" s="9"/>
    </row>
    <row r="477" customFormat="false" ht="15" hidden="false" customHeight="false" outlineLevel="0" collapsed="false">
      <c r="A477" s="6" t="str">
        <f aca="false">IF(B477="","",ROW()-3)</f>
        <v/>
      </c>
      <c r="B477" s="7"/>
      <c r="C477" s="8"/>
      <c r="D477" s="9"/>
      <c r="E477" s="10"/>
      <c r="F477" s="9"/>
      <c r="G477" s="9"/>
    </row>
    <row r="478" customFormat="false" ht="15" hidden="false" customHeight="false" outlineLevel="0" collapsed="false">
      <c r="A478" s="6" t="str">
        <f aca="false">IF(B478="","",ROW()-3)</f>
        <v/>
      </c>
      <c r="B478" s="7"/>
      <c r="C478" s="8"/>
      <c r="D478" s="9"/>
      <c r="E478" s="10"/>
      <c r="F478" s="9"/>
      <c r="G478" s="9"/>
    </row>
    <row r="479" customFormat="false" ht="15" hidden="false" customHeight="false" outlineLevel="0" collapsed="false">
      <c r="A479" s="6" t="str">
        <f aca="false">IF(B479="","",ROW()-3)</f>
        <v/>
      </c>
      <c r="B479" s="7"/>
      <c r="C479" s="8"/>
      <c r="D479" s="9"/>
      <c r="E479" s="10"/>
      <c r="F479" s="9"/>
      <c r="G479" s="9"/>
    </row>
    <row r="480" customFormat="false" ht="15" hidden="false" customHeight="false" outlineLevel="0" collapsed="false">
      <c r="A480" s="6" t="str">
        <f aca="false">IF(B480="","",ROW()-3)</f>
        <v/>
      </c>
      <c r="B480" s="7"/>
      <c r="C480" s="8"/>
      <c r="D480" s="9"/>
      <c r="E480" s="10"/>
      <c r="F480" s="9"/>
      <c r="G480" s="9"/>
    </row>
    <row r="481" customFormat="false" ht="15" hidden="false" customHeight="false" outlineLevel="0" collapsed="false">
      <c r="A481" s="6" t="str">
        <f aca="false">IF(B481="","",ROW()-3)</f>
        <v/>
      </c>
      <c r="B481" s="7"/>
      <c r="C481" s="8"/>
      <c r="D481" s="9"/>
      <c r="E481" s="10"/>
      <c r="F481" s="9"/>
      <c r="G481" s="9"/>
    </row>
    <row r="482" customFormat="false" ht="15" hidden="false" customHeight="false" outlineLevel="0" collapsed="false">
      <c r="A482" s="6" t="str">
        <f aca="false">IF(B482="","",ROW()-3)</f>
        <v/>
      </c>
      <c r="B482" s="7"/>
      <c r="C482" s="8"/>
      <c r="D482" s="9"/>
      <c r="E482" s="10"/>
      <c r="F482" s="9"/>
      <c r="G482" s="9"/>
    </row>
    <row r="483" customFormat="false" ht="15" hidden="false" customHeight="false" outlineLevel="0" collapsed="false">
      <c r="A483" s="6" t="str">
        <f aca="false">IF(B483="","",ROW()-3)</f>
        <v/>
      </c>
      <c r="B483" s="7"/>
      <c r="C483" s="8"/>
      <c r="D483" s="9"/>
      <c r="E483" s="10"/>
      <c r="F483" s="9"/>
      <c r="G483" s="9"/>
    </row>
    <row r="484" customFormat="false" ht="15" hidden="false" customHeight="false" outlineLevel="0" collapsed="false">
      <c r="A484" s="6" t="str">
        <f aca="false">IF(B484="","",ROW()-3)</f>
        <v/>
      </c>
      <c r="B484" s="7"/>
      <c r="C484" s="8"/>
      <c r="D484" s="9"/>
      <c r="E484" s="10"/>
      <c r="F484" s="9"/>
      <c r="G484" s="9"/>
    </row>
    <row r="485" customFormat="false" ht="15" hidden="false" customHeight="false" outlineLevel="0" collapsed="false">
      <c r="A485" s="6" t="str">
        <f aca="false">IF(B485="","",ROW()-3)</f>
        <v/>
      </c>
      <c r="B485" s="7"/>
      <c r="C485" s="8"/>
      <c r="D485" s="9"/>
      <c r="E485" s="10"/>
      <c r="F485" s="9"/>
      <c r="G485" s="9"/>
    </row>
    <row r="486" customFormat="false" ht="15" hidden="false" customHeight="false" outlineLevel="0" collapsed="false">
      <c r="A486" s="6" t="str">
        <f aca="false">IF(B486="","",ROW()-3)</f>
        <v/>
      </c>
      <c r="B486" s="7"/>
      <c r="C486" s="8"/>
      <c r="D486" s="9"/>
      <c r="E486" s="10"/>
      <c r="F486" s="9"/>
      <c r="G486" s="9"/>
    </row>
    <row r="487" customFormat="false" ht="15" hidden="false" customHeight="false" outlineLevel="0" collapsed="false">
      <c r="A487" s="6" t="str">
        <f aca="false">IF(B487="","",ROW()-3)</f>
        <v/>
      </c>
      <c r="B487" s="7"/>
      <c r="C487" s="8"/>
      <c r="D487" s="9"/>
      <c r="E487" s="10"/>
      <c r="F487" s="9"/>
      <c r="G487" s="9"/>
    </row>
    <row r="488" customFormat="false" ht="15" hidden="false" customHeight="false" outlineLevel="0" collapsed="false">
      <c r="A488" s="6" t="str">
        <f aca="false">IF(B488="","",ROW()-3)</f>
        <v/>
      </c>
      <c r="B488" s="7"/>
      <c r="C488" s="8"/>
      <c r="D488" s="9"/>
      <c r="E488" s="10"/>
      <c r="F488" s="9"/>
      <c r="G488" s="9"/>
    </row>
    <row r="489" customFormat="false" ht="15" hidden="false" customHeight="false" outlineLevel="0" collapsed="false">
      <c r="A489" s="6" t="str">
        <f aca="false">IF(B489="","",ROW()-3)</f>
        <v/>
      </c>
      <c r="B489" s="7"/>
      <c r="C489" s="8"/>
      <c r="D489" s="9"/>
      <c r="E489" s="10"/>
      <c r="F489" s="9"/>
      <c r="G489" s="9"/>
    </row>
    <row r="490" customFormat="false" ht="15" hidden="false" customHeight="false" outlineLevel="0" collapsed="false">
      <c r="A490" s="6" t="str">
        <f aca="false">IF(B490="","",ROW()-3)</f>
        <v/>
      </c>
      <c r="B490" s="7"/>
      <c r="C490" s="8"/>
      <c r="D490" s="9"/>
      <c r="E490" s="10"/>
      <c r="F490" s="9"/>
      <c r="G490" s="9"/>
    </row>
    <row r="491" customFormat="false" ht="15" hidden="false" customHeight="false" outlineLevel="0" collapsed="false">
      <c r="A491" s="6" t="str">
        <f aca="false">IF(B491="","",ROW()-3)</f>
        <v/>
      </c>
      <c r="B491" s="7"/>
      <c r="C491" s="8"/>
      <c r="D491" s="9"/>
      <c r="E491" s="10"/>
      <c r="F491" s="9"/>
      <c r="G491" s="9"/>
    </row>
    <row r="492" customFormat="false" ht="15" hidden="false" customHeight="false" outlineLevel="0" collapsed="false">
      <c r="A492" s="6" t="str">
        <f aca="false">IF(B492="","",ROW()-3)</f>
        <v/>
      </c>
      <c r="B492" s="7"/>
      <c r="C492" s="8"/>
      <c r="D492" s="9"/>
      <c r="E492" s="10"/>
      <c r="F492" s="9"/>
      <c r="G492" s="9"/>
    </row>
    <row r="493" customFormat="false" ht="15" hidden="false" customHeight="false" outlineLevel="0" collapsed="false">
      <c r="A493" s="6" t="str">
        <f aca="false">IF(B493="","",ROW()-3)</f>
        <v/>
      </c>
      <c r="B493" s="7"/>
      <c r="C493" s="8"/>
      <c r="D493" s="9"/>
      <c r="E493" s="10"/>
      <c r="F493" s="9"/>
      <c r="G493" s="9"/>
    </row>
    <row r="494" customFormat="false" ht="15" hidden="false" customHeight="false" outlineLevel="0" collapsed="false">
      <c r="A494" s="6" t="str">
        <f aca="false">IF(B494="","",ROW()-3)</f>
        <v/>
      </c>
      <c r="B494" s="7"/>
      <c r="C494" s="8"/>
      <c r="D494" s="9"/>
      <c r="E494" s="10"/>
      <c r="F494" s="9"/>
      <c r="G494" s="9"/>
    </row>
    <row r="495" customFormat="false" ht="15" hidden="false" customHeight="false" outlineLevel="0" collapsed="false">
      <c r="A495" s="6" t="str">
        <f aca="false">IF(B495="","",ROW()-3)</f>
        <v/>
      </c>
      <c r="B495" s="7"/>
      <c r="C495" s="8"/>
      <c r="D495" s="9"/>
      <c r="E495" s="10"/>
      <c r="F495" s="9"/>
      <c r="G495" s="9"/>
    </row>
    <row r="496" customFormat="false" ht="15" hidden="false" customHeight="false" outlineLevel="0" collapsed="false">
      <c r="A496" s="6" t="str">
        <f aca="false">IF(B496="","",ROW()-3)</f>
        <v/>
      </c>
      <c r="B496" s="7"/>
      <c r="C496" s="8"/>
      <c r="D496" s="9"/>
      <c r="E496" s="10"/>
      <c r="F496" s="9"/>
      <c r="G496" s="9"/>
    </row>
    <row r="497" customFormat="false" ht="15" hidden="false" customHeight="false" outlineLevel="0" collapsed="false">
      <c r="A497" s="6" t="str">
        <f aca="false">IF(B497="","",ROW()-3)</f>
        <v/>
      </c>
      <c r="B497" s="7"/>
      <c r="C497" s="8"/>
      <c r="D497" s="9"/>
      <c r="E497" s="10"/>
      <c r="F497" s="9"/>
      <c r="G497" s="9"/>
    </row>
    <row r="498" customFormat="false" ht="15" hidden="false" customHeight="false" outlineLevel="0" collapsed="false">
      <c r="A498" s="6" t="str">
        <f aca="false">IF(B498="","",ROW()-3)</f>
        <v/>
      </c>
      <c r="B498" s="7"/>
      <c r="C498" s="8"/>
      <c r="D498" s="9"/>
      <c r="E498" s="10"/>
      <c r="F498" s="9"/>
      <c r="G498" s="9"/>
    </row>
    <row r="499" customFormat="false" ht="15" hidden="false" customHeight="false" outlineLevel="0" collapsed="false">
      <c r="A499" s="6" t="str">
        <f aca="false">IF(B499="","",ROW()-3)</f>
        <v/>
      </c>
      <c r="B499" s="7"/>
      <c r="C499" s="8"/>
      <c r="D499" s="9"/>
      <c r="E499" s="10"/>
      <c r="F499" s="9"/>
      <c r="G499" s="9"/>
    </row>
    <row r="500" customFormat="false" ht="15" hidden="false" customHeight="false" outlineLevel="0" collapsed="false">
      <c r="A500" s="6" t="str">
        <f aca="false">IF(B500="","",ROW()-3)</f>
        <v/>
      </c>
      <c r="B500" s="7"/>
      <c r="C500" s="8"/>
      <c r="D500" s="9"/>
      <c r="E500" s="10"/>
      <c r="F500" s="9"/>
      <c r="G500" s="9"/>
    </row>
    <row r="501" customFormat="false" ht="15" hidden="false" customHeight="false" outlineLevel="0" collapsed="false">
      <c r="A501" s="6" t="str">
        <f aca="false">IF(B501="","",ROW()-3)</f>
        <v/>
      </c>
      <c r="B501" s="7"/>
      <c r="C501" s="8"/>
      <c r="D501" s="9"/>
      <c r="E501" s="10"/>
      <c r="F501" s="9"/>
      <c r="G501" s="9"/>
    </row>
    <row r="502" customFormat="false" ht="15" hidden="false" customHeight="false" outlineLevel="0" collapsed="false">
      <c r="A502" s="6" t="str">
        <f aca="false">IF(B502="","",ROW()-3)</f>
        <v/>
      </c>
      <c r="B502" s="7"/>
      <c r="C502" s="8"/>
      <c r="D502" s="9"/>
      <c r="E502" s="10"/>
      <c r="F502" s="9"/>
      <c r="G502" s="9"/>
    </row>
    <row r="503" customFormat="false" ht="15" hidden="false" customHeight="false" outlineLevel="0" collapsed="false">
      <c r="A503" s="6" t="str">
        <f aca="false">IF(B503="","",ROW()-3)</f>
        <v/>
      </c>
      <c r="B503" s="7"/>
      <c r="C503" s="8"/>
      <c r="D503" s="9"/>
      <c r="E503" s="10"/>
      <c r="F503" s="9"/>
      <c r="G503" s="9"/>
    </row>
  </sheetData>
  <autoFilter ref="A3:G503"/>
  <dataValidations count="1">
    <dataValidation allowBlank="true" error="Ingresar fecha dd/mm/aaaa" errorStyle="stop" errorTitle="Fecha" operator="greaterThan" showDropDown="false" showErrorMessage="true" showInputMessage="false" sqref="B4:B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18"/>
    <col collapsed="false" customWidth="true" hidden="false" outlineLevel="0" max="5" min="5" style="0" width="8"/>
    <col collapsed="false" customWidth="true" hidden="false" outlineLevel="0" max="6" min="6" style="0" width="24"/>
    <col collapsed="false" customWidth="true" hidden="false" outlineLevel="0" max="7" min="7" style="0" width="55"/>
    <col collapsed="false" customWidth="true" hidden="false" outlineLevel="0" max="8" min="8" style="0" width="11"/>
    <col collapsed="false" customWidth="true" hidden="false" outlineLevel="0" max="9" min="9" style="0" width="12"/>
    <col collapsed="false" customWidth="true" hidden="false" outlineLevel="0" max="10" min="10" style="0" width="10"/>
    <col collapsed="false" customWidth="true" hidden="false" outlineLevel="0" max="11" min="11" style="0" width="12"/>
    <col collapsed="false" customWidth="true" hidden="false" outlineLevel="0" max="12" min="12" style="0" width="14"/>
    <col collapsed="false" customWidth="true" hidden="false" outlineLevel="0" max="13" min="13" style="0" width="30"/>
    <col collapsed="false" customWidth="true" hidden="false" outlineLevel="0" max="14" min="14" style="0" width="18"/>
  </cols>
  <sheetData>
    <row r="1" customFormat="false" ht="17.35" hidden="false" customHeight="false" outlineLevel="0" collapsed="false">
      <c r="A1" s="3" t="s">
        <v>24</v>
      </c>
    </row>
    <row r="2" customFormat="false" ht="15" hidden="false" customHeight="false" outlineLevel="0" collapsed="false">
      <c r="A2" s="4" t="s">
        <v>25</v>
      </c>
    </row>
    <row r="3" customFormat="false" ht="31.5" hidden="false" customHeight="true" outlineLevel="0" collapsed="false">
      <c r="A3" s="5" t="s">
        <v>14</v>
      </c>
      <c r="B3" s="5" t="s">
        <v>15</v>
      </c>
      <c r="C3" s="5" t="s">
        <v>16</v>
      </c>
      <c r="D3" s="5" t="s">
        <v>17</v>
      </c>
      <c r="E3" s="5" t="s">
        <v>18</v>
      </c>
      <c r="F3" s="5" t="s">
        <v>19</v>
      </c>
      <c r="G3" s="5" t="s">
        <v>20</v>
      </c>
      <c r="H3" s="5" t="s">
        <v>26</v>
      </c>
      <c r="I3" s="5" t="s">
        <v>27</v>
      </c>
      <c r="J3" s="5" t="s">
        <v>28</v>
      </c>
      <c r="K3" s="5" t="s">
        <v>29</v>
      </c>
      <c r="L3" s="5" t="s">
        <v>30</v>
      </c>
      <c r="M3" s="5" t="s">
        <v>31</v>
      </c>
      <c r="N3" s="5" t="s">
        <v>32</v>
      </c>
    </row>
    <row r="4" customFormat="false" ht="90" hidden="false" customHeight="true" outlineLevel="0" collapsed="false">
      <c r="A4" s="6" t="n">
        <f aca="false">IF('Carga Vigilador'!A4="","",'Carga Vigilador'!A4)</f>
        <v>1</v>
      </c>
      <c r="B4" s="11" t="n">
        <f aca="false">IF('Carga Vigilador'!B4="","",'Carga Vigilador'!B4)</f>
        <v>46308</v>
      </c>
      <c r="C4" s="12" t="n">
        <f aca="false">IF('Carga Vigilador'!C4="","",'Carga Vigilador'!C4)</f>
        <v>0.534027777777778</v>
      </c>
      <c r="D4" s="13" t="str">
        <f aca="false">IF('Carga Vigilador'!D4="","",'Carga Vigilador'!D4)</f>
        <v>(nombre del vigilador)</v>
      </c>
      <c r="E4" s="6" t="n">
        <f aca="false">IF('Carga Vigilador'!E4="","",'Carga Vigilador'!E4)</f>
        <v>92</v>
      </c>
      <c r="F4" s="13" t="str">
        <f aca="false">IF('Carga Vigilador'!F4="","",'Carga Vigilador'!F4)</f>
        <v>TAGLIANI MATIAS EZEQUIEL (hijo de propietario)</v>
      </c>
      <c r="G4" s="13" t="str">
        <f aca="false">IF('Carga Vigilador'!G4="","",'Carga Vigilador'!G4)</f>
        <v>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v>
      </c>
      <c r="H4" s="14"/>
      <c r="I4" s="15"/>
      <c r="J4" s="14"/>
      <c r="K4" s="15"/>
      <c r="L4" s="16"/>
      <c r="M4" s="17"/>
      <c r="N4" s="18" t="str">
        <f aca="false">IF(B4="","",IF(J4="Sí","Multa aplicada",IF(J4="No","Sin multa",IF(H4="Sí","Descargo enviado","Pendiente"))))</f>
        <v>Pendiente</v>
      </c>
    </row>
    <row r="5" customFormat="false" ht="15" hidden="false" customHeight="false" outlineLevel="0" collapsed="false">
      <c r="A5" s="6" t="str">
        <f aca="false">IF('Carga Vigilador'!A5="","",'Carga Vigilador'!A5)</f>
        <v/>
      </c>
      <c r="B5" s="11" t="str">
        <f aca="false">IF('Carga Vigilador'!B5="","",'Carga Vigilador'!B5)</f>
        <v/>
      </c>
      <c r="C5" s="12" t="str">
        <f aca="false">IF('Carga Vigilador'!C5="","",'Carga Vigilador'!C5)</f>
        <v/>
      </c>
      <c r="D5" s="13" t="str">
        <f aca="false">IF('Carga Vigilador'!D5="","",'Carga Vigilador'!D5)</f>
        <v/>
      </c>
      <c r="E5" s="6" t="str">
        <f aca="false">IF('Carga Vigilador'!E5="","",'Carga Vigilador'!E5)</f>
        <v/>
      </c>
      <c r="F5" s="13" t="str">
        <f aca="false">IF('Carga Vigilador'!F5="","",'Carga Vigilador'!F5)</f>
        <v/>
      </c>
      <c r="G5" s="13" t="str">
        <f aca="false">IF('Carga Vigilador'!G5="","",'Carga Vigilador'!G5)</f>
        <v/>
      </c>
      <c r="H5" s="14"/>
      <c r="I5" s="15"/>
      <c r="J5" s="14"/>
      <c r="K5" s="15"/>
      <c r="L5" s="16"/>
      <c r="M5" s="17"/>
      <c r="N5" s="18" t="str">
        <f aca="false">IF(B5="","",IF(J5="Sí","Multa aplicada",IF(J5="No","Sin multa",IF(H5="Sí","Descargo enviado","Pendiente"))))</f>
        <v/>
      </c>
    </row>
    <row r="6" customFormat="false" ht="15" hidden="false" customHeight="false" outlineLevel="0" collapsed="false">
      <c r="A6" s="6" t="str">
        <f aca="false">IF('Carga Vigilador'!A6="","",'Carga Vigilador'!A6)</f>
        <v/>
      </c>
      <c r="B6" s="11" t="str">
        <f aca="false">IF('Carga Vigilador'!B6="","",'Carga Vigilador'!B6)</f>
        <v/>
      </c>
      <c r="C6" s="12" t="str">
        <f aca="false">IF('Carga Vigilador'!C6="","",'Carga Vigilador'!C6)</f>
        <v/>
      </c>
      <c r="D6" s="13" t="str">
        <f aca="false">IF('Carga Vigilador'!D6="","",'Carga Vigilador'!D6)</f>
        <v/>
      </c>
      <c r="E6" s="6" t="str">
        <f aca="false">IF('Carga Vigilador'!E6="","",'Carga Vigilador'!E6)</f>
        <v/>
      </c>
      <c r="F6" s="13" t="str">
        <f aca="false">IF('Carga Vigilador'!F6="","",'Carga Vigilador'!F6)</f>
        <v/>
      </c>
      <c r="G6" s="13" t="str">
        <f aca="false">IF('Carga Vigilador'!G6="","",'Carga Vigilador'!G6)</f>
        <v/>
      </c>
      <c r="H6" s="14"/>
      <c r="I6" s="15"/>
      <c r="J6" s="14"/>
      <c r="K6" s="15"/>
      <c r="L6" s="16"/>
      <c r="M6" s="17"/>
      <c r="N6" s="18" t="str">
        <f aca="false">IF(B6="","",IF(J6="Sí","Multa aplicada",IF(J6="No","Sin multa",IF(H6="Sí","Descargo enviado","Pendiente"))))</f>
        <v/>
      </c>
    </row>
    <row r="7" customFormat="false" ht="15" hidden="false" customHeight="false" outlineLevel="0" collapsed="false">
      <c r="A7" s="6" t="str">
        <f aca="false">IF('Carga Vigilador'!A7="","",'Carga Vigilador'!A7)</f>
        <v/>
      </c>
      <c r="B7" s="11" t="str">
        <f aca="false">IF('Carga Vigilador'!B7="","",'Carga Vigilador'!B7)</f>
        <v/>
      </c>
      <c r="C7" s="12" t="str">
        <f aca="false">IF('Carga Vigilador'!C7="","",'Carga Vigilador'!C7)</f>
        <v/>
      </c>
      <c r="D7" s="13" t="str">
        <f aca="false">IF('Carga Vigilador'!D7="","",'Carga Vigilador'!D7)</f>
        <v/>
      </c>
      <c r="E7" s="6" t="str">
        <f aca="false">IF('Carga Vigilador'!E7="","",'Carga Vigilador'!E7)</f>
        <v/>
      </c>
      <c r="F7" s="13" t="str">
        <f aca="false">IF('Carga Vigilador'!F7="","",'Carga Vigilador'!F7)</f>
        <v/>
      </c>
      <c r="G7" s="13" t="str">
        <f aca="false">IF('Carga Vigilador'!G7="","",'Carga Vigilador'!G7)</f>
        <v/>
      </c>
      <c r="H7" s="14"/>
      <c r="I7" s="15"/>
      <c r="J7" s="14"/>
      <c r="K7" s="15"/>
      <c r="L7" s="16"/>
      <c r="M7" s="17"/>
      <c r="N7" s="18" t="str">
        <f aca="false">IF(B7="","",IF(J7="Sí","Multa aplicada",IF(J7="No","Sin multa",IF(H7="Sí","Descargo enviado","Pendiente"))))</f>
        <v/>
      </c>
    </row>
    <row r="8" customFormat="false" ht="15" hidden="false" customHeight="false" outlineLevel="0" collapsed="false">
      <c r="A8" s="6" t="str">
        <f aca="false">IF('Carga Vigilador'!A8="","",'Carga Vigilador'!A8)</f>
        <v/>
      </c>
      <c r="B8" s="11" t="str">
        <f aca="false">IF('Carga Vigilador'!B8="","",'Carga Vigilador'!B8)</f>
        <v/>
      </c>
      <c r="C8" s="12" t="str">
        <f aca="false">IF('Carga Vigilador'!C8="","",'Carga Vigilador'!C8)</f>
        <v/>
      </c>
      <c r="D8" s="13" t="str">
        <f aca="false">IF('Carga Vigilador'!D8="","",'Carga Vigilador'!D8)</f>
        <v/>
      </c>
      <c r="E8" s="6" t="str">
        <f aca="false">IF('Carga Vigilador'!E8="","",'Carga Vigilador'!E8)</f>
        <v/>
      </c>
      <c r="F8" s="13" t="str">
        <f aca="false">IF('Carga Vigilador'!F8="","",'Carga Vigilador'!F8)</f>
        <v/>
      </c>
      <c r="G8" s="13" t="str">
        <f aca="false">IF('Carga Vigilador'!G8="","",'Carga Vigilador'!G8)</f>
        <v/>
      </c>
      <c r="H8" s="14"/>
      <c r="I8" s="15"/>
      <c r="J8" s="14"/>
      <c r="K8" s="15"/>
      <c r="L8" s="16"/>
      <c r="M8" s="17"/>
      <c r="N8" s="18" t="str">
        <f aca="false">IF(B8="","",IF(J8="Sí","Multa aplicada",IF(J8="No","Sin multa",IF(H8="Sí","Descargo enviado","Pendiente"))))</f>
        <v/>
      </c>
    </row>
    <row r="9" customFormat="false" ht="15" hidden="false" customHeight="false" outlineLevel="0" collapsed="false">
      <c r="A9" s="6" t="str">
        <f aca="false">IF('Carga Vigilador'!A9="","",'Carga Vigilador'!A9)</f>
        <v/>
      </c>
      <c r="B9" s="11" t="str">
        <f aca="false">IF('Carga Vigilador'!B9="","",'Carga Vigilador'!B9)</f>
        <v/>
      </c>
      <c r="C9" s="12" t="str">
        <f aca="false">IF('Carga Vigilador'!C9="","",'Carga Vigilador'!C9)</f>
        <v/>
      </c>
      <c r="D9" s="13" t="str">
        <f aca="false">IF('Carga Vigilador'!D9="","",'Carga Vigilador'!D9)</f>
        <v/>
      </c>
      <c r="E9" s="6" t="str">
        <f aca="false">IF('Carga Vigilador'!E9="","",'Carga Vigilador'!E9)</f>
        <v/>
      </c>
      <c r="F9" s="13" t="str">
        <f aca="false">IF('Carga Vigilador'!F9="","",'Carga Vigilador'!F9)</f>
        <v/>
      </c>
      <c r="G9" s="13" t="str">
        <f aca="false">IF('Carga Vigilador'!G9="","",'Carga Vigilador'!G9)</f>
        <v/>
      </c>
      <c r="H9" s="14"/>
      <c r="I9" s="15"/>
      <c r="J9" s="14"/>
      <c r="K9" s="15"/>
      <c r="L9" s="16"/>
      <c r="M9" s="17"/>
      <c r="N9" s="18" t="str">
        <f aca="false">IF(B9="","",IF(J9="Sí","Multa aplicada",IF(J9="No","Sin multa",IF(H9="Sí","Descargo enviado","Pendiente"))))</f>
        <v/>
      </c>
    </row>
    <row r="10" customFormat="false" ht="15" hidden="false" customHeight="false" outlineLevel="0" collapsed="false">
      <c r="A10" s="6" t="str">
        <f aca="false">IF('Carga Vigilador'!A10="","",'Carga Vigilador'!A10)</f>
        <v/>
      </c>
      <c r="B10" s="11" t="str">
        <f aca="false">IF('Carga Vigilador'!B10="","",'Carga Vigilador'!B10)</f>
        <v/>
      </c>
      <c r="C10" s="12" t="str">
        <f aca="false">IF('Carga Vigilador'!C10="","",'Carga Vigilador'!C10)</f>
        <v/>
      </c>
      <c r="D10" s="13" t="str">
        <f aca="false">IF('Carga Vigilador'!D10="","",'Carga Vigilador'!D10)</f>
        <v/>
      </c>
      <c r="E10" s="6" t="str">
        <f aca="false">IF('Carga Vigilador'!E10="","",'Carga Vigilador'!E10)</f>
        <v/>
      </c>
      <c r="F10" s="13" t="str">
        <f aca="false">IF('Carga Vigilador'!F10="","",'Carga Vigilador'!F10)</f>
        <v/>
      </c>
      <c r="G10" s="13" t="str">
        <f aca="false">IF('Carga Vigilador'!G10="","",'Carga Vigilador'!G10)</f>
        <v/>
      </c>
      <c r="H10" s="14"/>
      <c r="I10" s="15"/>
      <c r="J10" s="14"/>
      <c r="K10" s="15"/>
      <c r="L10" s="16"/>
      <c r="M10" s="17"/>
      <c r="N10" s="18" t="str">
        <f aca="false">IF(B10="","",IF(J10="Sí","Multa aplicada",IF(J10="No","Sin multa",IF(H10="Sí","Descargo enviado","Pendiente"))))</f>
        <v/>
      </c>
    </row>
    <row r="11" customFormat="false" ht="15" hidden="false" customHeight="false" outlineLevel="0" collapsed="false">
      <c r="A11" s="6" t="str">
        <f aca="false">IF('Carga Vigilador'!A11="","",'Carga Vigilador'!A11)</f>
        <v/>
      </c>
      <c r="B11" s="11" t="str">
        <f aca="false">IF('Carga Vigilador'!B11="","",'Carga Vigilador'!B11)</f>
        <v/>
      </c>
      <c r="C11" s="12" t="str">
        <f aca="false">IF('Carga Vigilador'!C11="","",'Carga Vigilador'!C11)</f>
        <v/>
      </c>
      <c r="D11" s="13" t="str">
        <f aca="false">IF('Carga Vigilador'!D11="","",'Carga Vigilador'!D11)</f>
        <v/>
      </c>
      <c r="E11" s="6" t="str">
        <f aca="false">IF('Carga Vigilador'!E11="","",'Carga Vigilador'!E11)</f>
        <v/>
      </c>
      <c r="F11" s="13" t="str">
        <f aca="false">IF('Carga Vigilador'!F11="","",'Carga Vigilador'!F11)</f>
        <v/>
      </c>
      <c r="G11" s="13" t="str">
        <f aca="false">IF('Carga Vigilador'!G11="","",'Carga Vigilador'!G11)</f>
        <v/>
      </c>
      <c r="H11" s="14"/>
      <c r="I11" s="15"/>
      <c r="J11" s="14"/>
      <c r="K11" s="15"/>
      <c r="L11" s="16"/>
      <c r="M11" s="17"/>
      <c r="N11" s="18" t="str">
        <f aca="false">IF(B11="","",IF(J11="Sí","Multa aplicada",IF(J11="No","Sin multa",IF(H11="Sí","Descargo enviado","Pendiente"))))</f>
        <v/>
      </c>
    </row>
    <row r="12" customFormat="false" ht="15" hidden="false" customHeight="false" outlineLevel="0" collapsed="false">
      <c r="A12" s="6" t="str">
        <f aca="false">IF('Carga Vigilador'!A12="","",'Carga Vigilador'!A12)</f>
        <v/>
      </c>
      <c r="B12" s="11" t="str">
        <f aca="false">IF('Carga Vigilador'!B12="","",'Carga Vigilador'!B12)</f>
        <v/>
      </c>
      <c r="C12" s="12" t="str">
        <f aca="false">IF('Carga Vigilador'!C12="","",'Carga Vigilador'!C12)</f>
        <v/>
      </c>
      <c r="D12" s="13" t="str">
        <f aca="false">IF('Carga Vigilador'!D12="","",'Carga Vigilador'!D12)</f>
        <v/>
      </c>
      <c r="E12" s="6" t="str">
        <f aca="false">IF('Carga Vigilador'!E12="","",'Carga Vigilador'!E12)</f>
        <v/>
      </c>
      <c r="F12" s="13" t="str">
        <f aca="false">IF('Carga Vigilador'!F12="","",'Carga Vigilador'!F12)</f>
        <v/>
      </c>
      <c r="G12" s="13" t="str">
        <f aca="false">IF('Carga Vigilador'!G12="","",'Carga Vigilador'!G12)</f>
        <v/>
      </c>
      <c r="H12" s="14"/>
      <c r="I12" s="15"/>
      <c r="J12" s="14"/>
      <c r="K12" s="15"/>
      <c r="L12" s="16"/>
      <c r="M12" s="17"/>
      <c r="N12" s="18" t="str">
        <f aca="false">IF(B12="","",IF(J12="Sí","Multa aplicada",IF(J12="No","Sin multa",IF(H12="Sí","Descargo enviado","Pendiente"))))</f>
        <v/>
      </c>
    </row>
    <row r="13" customFormat="false" ht="15" hidden="false" customHeight="false" outlineLevel="0" collapsed="false">
      <c r="A13" s="6" t="str">
        <f aca="false">IF('Carga Vigilador'!A13="","",'Carga Vigilador'!A13)</f>
        <v/>
      </c>
      <c r="B13" s="11" t="str">
        <f aca="false">IF('Carga Vigilador'!B13="","",'Carga Vigilador'!B13)</f>
        <v/>
      </c>
      <c r="C13" s="12" t="str">
        <f aca="false">IF('Carga Vigilador'!C13="","",'Carga Vigilador'!C13)</f>
        <v/>
      </c>
      <c r="D13" s="13" t="str">
        <f aca="false">IF('Carga Vigilador'!D13="","",'Carga Vigilador'!D13)</f>
        <v/>
      </c>
      <c r="E13" s="6" t="str">
        <f aca="false">IF('Carga Vigilador'!E13="","",'Carga Vigilador'!E13)</f>
        <v/>
      </c>
      <c r="F13" s="13" t="str">
        <f aca="false">IF('Carga Vigilador'!F13="","",'Carga Vigilador'!F13)</f>
        <v/>
      </c>
      <c r="G13" s="13" t="str">
        <f aca="false">IF('Carga Vigilador'!G13="","",'Carga Vigilador'!G13)</f>
        <v/>
      </c>
      <c r="H13" s="14"/>
      <c r="I13" s="15"/>
      <c r="J13" s="14"/>
      <c r="K13" s="15"/>
      <c r="L13" s="16"/>
      <c r="M13" s="17"/>
      <c r="N13" s="18" t="str">
        <f aca="false">IF(B13="","",IF(J13="Sí","Multa aplicada",IF(J13="No","Sin multa",IF(H13="Sí","Descargo enviado","Pendiente"))))</f>
        <v/>
      </c>
    </row>
    <row r="14" customFormat="false" ht="15" hidden="false" customHeight="false" outlineLevel="0" collapsed="false">
      <c r="A14" s="6" t="str">
        <f aca="false">IF('Carga Vigilador'!A14="","",'Carga Vigilador'!A14)</f>
        <v/>
      </c>
      <c r="B14" s="11" t="str">
        <f aca="false">IF('Carga Vigilador'!B14="","",'Carga Vigilador'!B14)</f>
        <v/>
      </c>
      <c r="C14" s="12" t="str">
        <f aca="false">IF('Carga Vigilador'!C14="","",'Carga Vigilador'!C14)</f>
        <v/>
      </c>
      <c r="D14" s="13" t="str">
        <f aca="false">IF('Carga Vigilador'!D14="","",'Carga Vigilador'!D14)</f>
        <v/>
      </c>
      <c r="E14" s="6" t="str">
        <f aca="false">IF('Carga Vigilador'!E14="","",'Carga Vigilador'!E14)</f>
        <v/>
      </c>
      <c r="F14" s="13" t="str">
        <f aca="false">IF('Carga Vigilador'!F14="","",'Carga Vigilador'!F14)</f>
        <v/>
      </c>
      <c r="G14" s="13" t="str">
        <f aca="false">IF('Carga Vigilador'!G14="","",'Carga Vigilador'!G14)</f>
        <v/>
      </c>
      <c r="H14" s="14"/>
      <c r="I14" s="15"/>
      <c r="J14" s="14"/>
      <c r="K14" s="15"/>
      <c r="L14" s="16"/>
      <c r="M14" s="17"/>
      <c r="N14" s="18" t="str">
        <f aca="false">IF(B14="","",IF(J14="Sí","Multa aplicada",IF(J14="No","Sin multa",IF(H14="Sí","Descargo enviado","Pendiente"))))</f>
        <v/>
      </c>
    </row>
    <row r="15" customFormat="false" ht="15" hidden="false" customHeight="false" outlineLevel="0" collapsed="false">
      <c r="A15" s="6" t="str">
        <f aca="false">IF('Carga Vigilador'!A15="","",'Carga Vigilador'!A15)</f>
        <v/>
      </c>
      <c r="B15" s="11" t="str">
        <f aca="false">IF('Carga Vigilador'!B15="","",'Carga Vigilador'!B15)</f>
        <v/>
      </c>
      <c r="C15" s="12" t="str">
        <f aca="false">IF('Carga Vigilador'!C15="","",'Carga Vigilador'!C15)</f>
        <v/>
      </c>
      <c r="D15" s="13" t="str">
        <f aca="false">IF('Carga Vigilador'!D15="","",'Carga Vigilador'!D15)</f>
        <v/>
      </c>
      <c r="E15" s="6" t="str">
        <f aca="false">IF('Carga Vigilador'!E15="","",'Carga Vigilador'!E15)</f>
        <v/>
      </c>
      <c r="F15" s="13" t="str">
        <f aca="false">IF('Carga Vigilador'!F15="","",'Carga Vigilador'!F15)</f>
        <v/>
      </c>
      <c r="G15" s="13" t="str">
        <f aca="false">IF('Carga Vigilador'!G15="","",'Carga Vigilador'!G15)</f>
        <v/>
      </c>
      <c r="H15" s="14"/>
      <c r="I15" s="15"/>
      <c r="J15" s="14"/>
      <c r="K15" s="15"/>
      <c r="L15" s="16"/>
      <c r="M15" s="17"/>
      <c r="N15" s="18" t="str">
        <f aca="false">IF(B15="","",IF(J15="Sí","Multa aplicada",IF(J15="No","Sin multa",IF(H15="Sí","Descargo enviado","Pendiente"))))</f>
        <v/>
      </c>
    </row>
    <row r="16" customFormat="false" ht="15" hidden="false" customHeight="false" outlineLevel="0" collapsed="false">
      <c r="A16" s="6" t="str">
        <f aca="false">IF('Carga Vigilador'!A16="","",'Carga Vigilador'!A16)</f>
        <v/>
      </c>
      <c r="B16" s="11" t="str">
        <f aca="false">IF('Carga Vigilador'!B16="","",'Carga Vigilador'!B16)</f>
        <v/>
      </c>
      <c r="C16" s="12" t="str">
        <f aca="false">IF('Carga Vigilador'!C16="","",'Carga Vigilador'!C16)</f>
        <v/>
      </c>
      <c r="D16" s="13" t="str">
        <f aca="false">IF('Carga Vigilador'!D16="","",'Carga Vigilador'!D16)</f>
        <v/>
      </c>
      <c r="E16" s="6" t="str">
        <f aca="false">IF('Carga Vigilador'!E16="","",'Carga Vigilador'!E16)</f>
        <v/>
      </c>
      <c r="F16" s="13" t="str">
        <f aca="false">IF('Carga Vigilador'!F16="","",'Carga Vigilador'!F16)</f>
        <v/>
      </c>
      <c r="G16" s="13" t="str">
        <f aca="false">IF('Carga Vigilador'!G16="","",'Carga Vigilador'!G16)</f>
        <v/>
      </c>
      <c r="H16" s="14"/>
      <c r="I16" s="15"/>
      <c r="J16" s="14"/>
      <c r="K16" s="15"/>
      <c r="L16" s="16"/>
      <c r="M16" s="17"/>
      <c r="N16" s="18" t="str">
        <f aca="false">IF(B16="","",IF(J16="Sí","Multa aplicada",IF(J16="No","Sin multa",IF(H16="Sí","Descargo enviado","Pendiente"))))</f>
        <v/>
      </c>
    </row>
    <row r="17" customFormat="false" ht="15" hidden="false" customHeight="false" outlineLevel="0" collapsed="false">
      <c r="A17" s="6" t="str">
        <f aca="false">IF('Carga Vigilador'!A17="","",'Carga Vigilador'!A17)</f>
        <v/>
      </c>
      <c r="B17" s="11" t="str">
        <f aca="false">IF('Carga Vigilador'!B17="","",'Carga Vigilador'!B17)</f>
        <v/>
      </c>
      <c r="C17" s="12" t="str">
        <f aca="false">IF('Carga Vigilador'!C17="","",'Carga Vigilador'!C17)</f>
        <v/>
      </c>
      <c r="D17" s="13" t="str">
        <f aca="false">IF('Carga Vigilador'!D17="","",'Carga Vigilador'!D17)</f>
        <v/>
      </c>
      <c r="E17" s="6" t="str">
        <f aca="false">IF('Carga Vigilador'!E17="","",'Carga Vigilador'!E17)</f>
        <v/>
      </c>
      <c r="F17" s="13" t="str">
        <f aca="false">IF('Carga Vigilador'!F17="","",'Carga Vigilador'!F17)</f>
        <v/>
      </c>
      <c r="G17" s="13" t="str">
        <f aca="false">IF('Carga Vigilador'!G17="","",'Carga Vigilador'!G17)</f>
        <v/>
      </c>
      <c r="H17" s="14"/>
      <c r="I17" s="15"/>
      <c r="J17" s="14"/>
      <c r="K17" s="15"/>
      <c r="L17" s="16"/>
      <c r="M17" s="17"/>
      <c r="N17" s="18" t="str">
        <f aca="false">IF(B17="","",IF(J17="Sí","Multa aplicada",IF(J17="No","Sin multa",IF(H17="Sí","Descargo enviado","Pendiente"))))</f>
        <v/>
      </c>
    </row>
    <row r="18" customFormat="false" ht="15" hidden="false" customHeight="false" outlineLevel="0" collapsed="false">
      <c r="A18" s="6" t="str">
        <f aca="false">IF('Carga Vigilador'!A18="","",'Carga Vigilador'!A18)</f>
        <v/>
      </c>
      <c r="B18" s="11" t="str">
        <f aca="false">IF('Carga Vigilador'!B18="","",'Carga Vigilador'!B18)</f>
        <v/>
      </c>
      <c r="C18" s="12" t="str">
        <f aca="false">IF('Carga Vigilador'!C18="","",'Carga Vigilador'!C18)</f>
        <v/>
      </c>
      <c r="D18" s="13" t="str">
        <f aca="false">IF('Carga Vigilador'!D18="","",'Carga Vigilador'!D18)</f>
        <v/>
      </c>
      <c r="E18" s="6" t="str">
        <f aca="false">IF('Carga Vigilador'!E18="","",'Carga Vigilador'!E18)</f>
        <v/>
      </c>
      <c r="F18" s="13" t="str">
        <f aca="false">IF('Carga Vigilador'!F18="","",'Carga Vigilador'!F18)</f>
        <v/>
      </c>
      <c r="G18" s="13" t="str">
        <f aca="false">IF('Carga Vigilador'!G18="","",'Carga Vigilador'!G18)</f>
        <v/>
      </c>
      <c r="H18" s="14"/>
      <c r="I18" s="15"/>
      <c r="J18" s="14"/>
      <c r="K18" s="15"/>
      <c r="L18" s="16"/>
      <c r="M18" s="17"/>
      <c r="N18" s="18" t="str">
        <f aca="false">IF(B18="","",IF(J18="Sí","Multa aplicada",IF(J18="No","Sin multa",IF(H18="Sí","Descargo enviado","Pendiente"))))</f>
        <v/>
      </c>
    </row>
    <row r="19" customFormat="false" ht="15" hidden="false" customHeight="false" outlineLevel="0" collapsed="false">
      <c r="A19" s="6" t="str">
        <f aca="false">IF('Carga Vigilador'!A19="","",'Carga Vigilador'!A19)</f>
        <v/>
      </c>
      <c r="B19" s="11" t="str">
        <f aca="false">IF('Carga Vigilador'!B19="","",'Carga Vigilador'!B19)</f>
        <v/>
      </c>
      <c r="C19" s="12" t="str">
        <f aca="false">IF('Carga Vigilador'!C19="","",'Carga Vigilador'!C19)</f>
        <v/>
      </c>
      <c r="D19" s="13" t="str">
        <f aca="false">IF('Carga Vigilador'!D19="","",'Carga Vigilador'!D19)</f>
        <v/>
      </c>
      <c r="E19" s="6" t="str">
        <f aca="false">IF('Carga Vigilador'!E19="","",'Carga Vigilador'!E19)</f>
        <v/>
      </c>
      <c r="F19" s="13" t="str">
        <f aca="false">IF('Carga Vigilador'!F19="","",'Carga Vigilador'!F19)</f>
        <v/>
      </c>
      <c r="G19" s="13" t="str">
        <f aca="false">IF('Carga Vigilador'!G19="","",'Carga Vigilador'!G19)</f>
        <v/>
      </c>
      <c r="H19" s="14"/>
      <c r="I19" s="15"/>
      <c r="J19" s="14"/>
      <c r="K19" s="15"/>
      <c r="L19" s="16"/>
      <c r="M19" s="17"/>
      <c r="N19" s="18" t="str">
        <f aca="false">IF(B19="","",IF(J19="Sí","Multa aplicada",IF(J19="No","Sin multa",IF(H19="Sí","Descargo enviado","Pendiente"))))</f>
        <v/>
      </c>
    </row>
    <row r="20" customFormat="false" ht="15" hidden="false" customHeight="false" outlineLevel="0" collapsed="false">
      <c r="A20" s="6" t="str">
        <f aca="false">IF('Carga Vigilador'!A20="","",'Carga Vigilador'!A20)</f>
        <v/>
      </c>
      <c r="B20" s="11" t="str">
        <f aca="false">IF('Carga Vigilador'!B20="","",'Carga Vigilador'!B20)</f>
        <v/>
      </c>
      <c r="C20" s="12" t="str">
        <f aca="false">IF('Carga Vigilador'!C20="","",'Carga Vigilador'!C20)</f>
        <v/>
      </c>
      <c r="D20" s="13" t="str">
        <f aca="false">IF('Carga Vigilador'!D20="","",'Carga Vigilador'!D20)</f>
        <v/>
      </c>
      <c r="E20" s="6" t="str">
        <f aca="false">IF('Carga Vigilador'!E20="","",'Carga Vigilador'!E20)</f>
        <v/>
      </c>
      <c r="F20" s="13" t="str">
        <f aca="false">IF('Carga Vigilador'!F20="","",'Carga Vigilador'!F20)</f>
        <v/>
      </c>
      <c r="G20" s="13" t="str">
        <f aca="false">IF('Carga Vigilador'!G20="","",'Carga Vigilador'!G20)</f>
        <v/>
      </c>
      <c r="H20" s="14"/>
      <c r="I20" s="15"/>
      <c r="J20" s="14"/>
      <c r="K20" s="15"/>
      <c r="L20" s="16"/>
      <c r="M20" s="17"/>
      <c r="N20" s="18" t="str">
        <f aca="false">IF(B20="","",IF(J20="Sí","Multa aplicada",IF(J20="No","Sin multa",IF(H20="Sí","Descargo enviado","Pendiente"))))</f>
        <v/>
      </c>
    </row>
    <row r="21" customFormat="false" ht="15" hidden="false" customHeight="false" outlineLevel="0" collapsed="false">
      <c r="A21" s="6" t="str">
        <f aca="false">IF('Carga Vigilador'!A21="","",'Carga Vigilador'!A21)</f>
        <v/>
      </c>
      <c r="B21" s="11" t="str">
        <f aca="false">IF('Carga Vigilador'!B21="","",'Carga Vigilador'!B21)</f>
        <v/>
      </c>
      <c r="C21" s="12" t="str">
        <f aca="false">IF('Carga Vigilador'!C21="","",'Carga Vigilador'!C21)</f>
        <v/>
      </c>
      <c r="D21" s="13" t="str">
        <f aca="false">IF('Carga Vigilador'!D21="","",'Carga Vigilador'!D21)</f>
        <v/>
      </c>
      <c r="E21" s="6" t="str">
        <f aca="false">IF('Carga Vigilador'!E21="","",'Carga Vigilador'!E21)</f>
        <v/>
      </c>
      <c r="F21" s="13" t="str">
        <f aca="false">IF('Carga Vigilador'!F21="","",'Carga Vigilador'!F21)</f>
        <v/>
      </c>
      <c r="G21" s="13" t="str">
        <f aca="false">IF('Carga Vigilador'!G21="","",'Carga Vigilador'!G21)</f>
        <v/>
      </c>
      <c r="H21" s="14"/>
      <c r="I21" s="15"/>
      <c r="J21" s="14"/>
      <c r="K21" s="15"/>
      <c r="L21" s="16"/>
      <c r="M21" s="17"/>
      <c r="N21" s="18" t="str">
        <f aca="false">IF(B21="","",IF(J21="Sí","Multa aplicada",IF(J21="No","Sin multa",IF(H21="Sí","Descargo enviado","Pendiente"))))</f>
        <v/>
      </c>
    </row>
    <row r="22" customFormat="false" ht="15" hidden="false" customHeight="false" outlineLevel="0" collapsed="false">
      <c r="A22" s="6" t="str">
        <f aca="false">IF('Carga Vigilador'!A22="","",'Carga Vigilador'!A22)</f>
        <v/>
      </c>
      <c r="B22" s="11" t="str">
        <f aca="false">IF('Carga Vigilador'!B22="","",'Carga Vigilador'!B22)</f>
        <v/>
      </c>
      <c r="C22" s="12" t="str">
        <f aca="false">IF('Carga Vigilador'!C22="","",'Carga Vigilador'!C22)</f>
        <v/>
      </c>
      <c r="D22" s="13" t="str">
        <f aca="false">IF('Carga Vigilador'!D22="","",'Carga Vigilador'!D22)</f>
        <v/>
      </c>
      <c r="E22" s="6" t="str">
        <f aca="false">IF('Carga Vigilador'!E22="","",'Carga Vigilador'!E22)</f>
        <v/>
      </c>
      <c r="F22" s="13" t="str">
        <f aca="false">IF('Carga Vigilador'!F22="","",'Carga Vigilador'!F22)</f>
        <v/>
      </c>
      <c r="G22" s="13" t="str">
        <f aca="false">IF('Carga Vigilador'!G22="","",'Carga Vigilador'!G22)</f>
        <v/>
      </c>
      <c r="H22" s="14"/>
      <c r="I22" s="15"/>
      <c r="J22" s="14"/>
      <c r="K22" s="15"/>
      <c r="L22" s="16"/>
      <c r="M22" s="17"/>
      <c r="N22" s="18" t="str">
        <f aca="false">IF(B22="","",IF(J22="Sí","Multa aplicada",IF(J22="No","Sin multa",IF(H22="Sí","Descargo enviado","Pendiente"))))</f>
        <v/>
      </c>
    </row>
    <row r="23" customFormat="false" ht="15" hidden="false" customHeight="false" outlineLevel="0" collapsed="false">
      <c r="A23" s="6" t="str">
        <f aca="false">IF('Carga Vigilador'!A23="","",'Carga Vigilador'!A23)</f>
        <v/>
      </c>
      <c r="B23" s="11" t="str">
        <f aca="false">IF('Carga Vigilador'!B23="","",'Carga Vigilador'!B23)</f>
        <v/>
      </c>
      <c r="C23" s="12" t="str">
        <f aca="false">IF('Carga Vigilador'!C23="","",'Carga Vigilador'!C23)</f>
        <v/>
      </c>
      <c r="D23" s="13" t="str">
        <f aca="false">IF('Carga Vigilador'!D23="","",'Carga Vigilador'!D23)</f>
        <v/>
      </c>
      <c r="E23" s="6" t="str">
        <f aca="false">IF('Carga Vigilador'!E23="","",'Carga Vigilador'!E23)</f>
        <v/>
      </c>
      <c r="F23" s="13" t="str">
        <f aca="false">IF('Carga Vigilador'!F23="","",'Carga Vigilador'!F23)</f>
        <v/>
      </c>
      <c r="G23" s="13" t="str">
        <f aca="false">IF('Carga Vigilador'!G23="","",'Carga Vigilador'!G23)</f>
        <v/>
      </c>
      <c r="H23" s="14"/>
      <c r="I23" s="15"/>
      <c r="J23" s="14"/>
      <c r="K23" s="15"/>
      <c r="L23" s="16"/>
      <c r="M23" s="17"/>
      <c r="N23" s="18" t="str">
        <f aca="false">IF(B23="","",IF(J23="Sí","Multa aplicada",IF(J23="No","Sin multa",IF(H23="Sí","Descargo enviado","Pendiente"))))</f>
        <v/>
      </c>
    </row>
    <row r="24" customFormat="false" ht="15" hidden="false" customHeight="false" outlineLevel="0" collapsed="false">
      <c r="A24" s="6" t="str">
        <f aca="false">IF('Carga Vigilador'!A24="","",'Carga Vigilador'!A24)</f>
        <v/>
      </c>
      <c r="B24" s="11" t="str">
        <f aca="false">IF('Carga Vigilador'!B24="","",'Carga Vigilador'!B24)</f>
        <v/>
      </c>
      <c r="C24" s="12" t="str">
        <f aca="false">IF('Carga Vigilador'!C24="","",'Carga Vigilador'!C24)</f>
        <v/>
      </c>
      <c r="D24" s="13" t="str">
        <f aca="false">IF('Carga Vigilador'!D24="","",'Carga Vigilador'!D24)</f>
        <v/>
      </c>
      <c r="E24" s="6" t="str">
        <f aca="false">IF('Carga Vigilador'!E24="","",'Carga Vigilador'!E24)</f>
        <v/>
      </c>
      <c r="F24" s="13" t="str">
        <f aca="false">IF('Carga Vigilador'!F24="","",'Carga Vigilador'!F24)</f>
        <v/>
      </c>
      <c r="G24" s="13" t="str">
        <f aca="false">IF('Carga Vigilador'!G24="","",'Carga Vigilador'!G24)</f>
        <v/>
      </c>
      <c r="H24" s="14"/>
      <c r="I24" s="15"/>
      <c r="J24" s="14"/>
      <c r="K24" s="15"/>
      <c r="L24" s="16"/>
      <c r="M24" s="17"/>
      <c r="N24" s="18" t="str">
        <f aca="false">IF(B24="","",IF(J24="Sí","Multa aplicada",IF(J24="No","Sin multa",IF(H24="Sí","Descargo enviado","Pendiente"))))</f>
        <v/>
      </c>
    </row>
    <row r="25" customFormat="false" ht="15" hidden="false" customHeight="false" outlineLevel="0" collapsed="false">
      <c r="A25" s="6" t="str">
        <f aca="false">IF('Carga Vigilador'!A25="","",'Carga Vigilador'!A25)</f>
        <v/>
      </c>
      <c r="B25" s="11" t="str">
        <f aca="false">IF('Carga Vigilador'!B25="","",'Carga Vigilador'!B25)</f>
        <v/>
      </c>
      <c r="C25" s="12" t="str">
        <f aca="false">IF('Carga Vigilador'!C25="","",'Carga Vigilador'!C25)</f>
        <v/>
      </c>
      <c r="D25" s="13" t="str">
        <f aca="false">IF('Carga Vigilador'!D25="","",'Carga Vigilador'!D25)</f>
        <v/>
      </c>
      <c r="E25" s="6" t="str">
        <f aca="false">IF('Carga Vigilador'!E25="","",'Carga Vigilador'!E25)</f>
        <v/>
      </c>
      <c r="F25" s="13" t="str">
        <f aca="false">IF('Carga Vigilador'!F25="","",'Carga Vigilador'!F25)</f>
        <v/>
      </c>
      <c r="G25" s="13" t="str">
        <f aca="false">IF('Carga Vigilador'!G25="","",'Carga Vigilador'!G25)</f>
        <v/>
      </c>
      <c r="H25" s="14"/>
      <c r="I25" s="15"/>
      <c r="J25" s="14"/>
      <c r="K25" s="15"/>
      <c r="L25" s="16"/>
      <c r="M25" s="17"/>
      <c r="N25" s="18" t="str">
        <f aca="false">IF(B25="","",IF(J25="Sí","Multa aplicada",IF(J25="No","Sin multa",IF(H25="Sí","Descargo enviado","Pendiente"))))</f>
        <v/>
      </c>
    </row>
    <row r="26" customFormat="false" ht="15" hidden="false" customHeight="false" outlineLevel="0" collapsed="false">
      <c r="A26" s="6" t="str">
        <f aca="false">IF('Carga Vigilador'!A26="","",'Carga Vigilador'!A26)</f>
        <v/>
      </c>
      <c r="B26" s="11" t="str">
        <f aca="false">IF('Carga Vigilador'!B26="","",'Carga Vigilador'!B26)</f>
        <v/>
      </c>
      <c r="C26" s="12" t="str">
        <f aca="false">IF('Carga Vigilador'!C26="","",'Carga Vigilador'!C26)</f>
        <v/>
      </c>
      <c r="D26" s="13" t="str">
        <f aca="false">IF('Carga Vigilador'!D26="","",'Carga Vigilador'!D26)</f>
        <v/>
      </c>
      <c r="E26" s="6" t="str">
        <f aca="false">IF('Carga Vigilador'!E26="","",'Carga Vigilador'!E26)</f>
        <v/>
      </c>
      <c r="F26" s="13" t="str">
        <f aca="false">IF('Carga Vigilador'!F26="","",'Carga Vigilador'!F26)</f>
        <v/>
      </c>
      <c r="G26" s="13" t="str">
        <f aca="false">IF('Carga Vigilador'!G26="","",'Carga Vigilador'!G26)</f>
        <v/>
      </c>
      <c r="H26" s="14"/>
      <c r="I26" s="15"/>
      <c r="J26" s="14"/>
      <c r="K26" s="15"/>
      <c r="L26" s="16"/>
      <c r="M26" s="17"/>
      <c r="N26" s="18" t="str">
        <f aca="false">IF(B26="","",IF(J26="Sí","Multa aplicada",IF(J26="No","Sin multa",IF(H26="Sí","Descargo enviado","Pendiente"))))</f>
        <v/>
      </c>
    </row>
    <row r="27" customFormat="false" ht="15" hidden="false" customHeight="false" outlineLevel="0" collapsed="false">
      <c r="A27" s="6" t="str">
        <f aca="false">IF('Carga Vigilador'!A27="","",'Carga Vigilador'!A27)</f>
        <v/>
      </c>
      <c r="B27" s="11" t="str">
        <f aca="false">IF('Carga Vigilador'!B27="","",'Carga Vigilador'!B27)</f>
        <v/>
      </c>
      <c r="C27" s="12" t="str">
        <f aca="false">IF('Carga Vigilador'!C27="","",'Carga Vigilador'!C27)</f>
        <v/>
      </c>
      <c r="D27" s="13" t="str">
        <f aca="false">IF('Carga Vigilador'!D27="","",'Carga Vigilador'!D27)</f>
        <v/>
      </c>
      <c r="E27" s="6" t="str">
        <f aca="false">IF('Carga Vigilador'!E27="","",'Carga Vigilador'!E27)</f>
        <v/>
      </c>
      <c r="F27" s="13" t="str">
        <f aca="false">IF('Carga Vigilador'!F27="","",'Carga Vigilador'!F27)</f>
        <v/>
      </c>
      <c r="G27" s="13" t="str">
        <f aca="false">IF('Carga Vigilador'!G27="","",'Carga Vigilador'!G27)</f>
        <v/>
      </c>
      <c r="H27" s="14"/>
      <c r="I27" s="15"/>
      <c r="J27" s="14"/>
      <c r="K27" s="15"/>
      <c r="L27" s="16"/>
      <c r="M27" s="17"/>
      <c r="N27" s="18" t="str">
        <f aca="false">IF(B27="","",IF(J27="Sí","Multa aplicada",IF(J27="No","Sin multa",IF(H27="Sí","Descargo enviado","Pendiente"))))</f>
        <v/>
      </c>
    </row>
    <row r="28" customFormat="false" ht="15" hidden="false" customHeight="false" outlineLevel="0" collapsed="false">
      <c r="A28" s="6" t="str">
        <f aca="false">IF('Carga Vigilador'!A28="","",'Carga Vigilador'!A28)</f>
        <v/>
      </c>
      <c r="B28" s="11" t="str">
        <f aca="false">IF('Carga Vigilador'!B28="","",'Carga Vigilador'!B28)</f>
        <v/>
      </c>
      <c r="C28" s="12" t="str">
        <f aca="false">IF('Carga Vigilador'!C28="","",'Carga Vigilador'!C28)</f>
        <v/>
      </c>
      <c r="D28" s="13" t="str">
        <f aca="false">IF('Carga Vigilador'!D28="","",'Carga Vigilador'!D28)</f>
        <v/>
      </c>
      <c r="E28" s="6" t="str">
        <f aca="false">IF('Carga Vigilador'!E28="","",'Carga Vigilador'!E28)</f>
        <v/>
      </c>
      <c r="F28" s="13" t="str">
        <f aca="false">IF('Carga Vigilador'!F28="","",'Carga Vigilador'!F28)</f>
        <v/>
      </c>
      <c r="G28" s="13" t="str">
        <f aca="false">IF('Carga Vigilador'!G28="","",'Carga Vigilador'!G28)</f>
        <v/>
      </c>
      <c r="H28" s="14"/>
      <c r="I28" s="15"/>
      <c r="J28" s="14"/>
      <c r="K28" s="15"/>
      <c r="L28" s="16"/>
      <c r="M28" s="17"/>
      <c r="N28" s="18" t="str">
        <f aca="false">IF(B28="","",IF(J28="Sí","Multa aplicada",IF(J28="No","Sin multa",IF(H28="Sí","Descargo enviado","Pendiente"))))</f>
        <v/>
      </c>
    </row>
    <row r="29" customFormat="false" ht="15" hidden="false" customHeight="false" outlineLevel="0" collapsed="false">
      <c r="A29" s="6" t="str">
        <f aca="false">IF('Carga Vigilador'!A29="","",'Carga Vigilador'!A29)</f>
        <v/>
      </c>
      <c r="B29" s="11" t="str">
        <f aca="false">IF('Carga Vigilador'!B29="","",'Carga Vigilador'!B29)</f>
        <v/>
      </c>
      <c r="C29" s="12" t="str">
        <f aca="false">IF('Carga Vigilador'!C29="","",'Carga Vigilador'!C29)</f>
        <v/>
      </c>
      <c r="D29" s="13" t="str">
        <f aca="false">IF('Carga Vigilador'!D29="","",'Carga Vigilador'!D29)</f>
        <v/>
      </c>
      <c r="E29" s="6" t="str">
        <f aca="false">IF('Carga Vigilador'!E29="","",'Carga Vigilador'!E29)</f>
        <v/>
      </c>
      <c r="F29" s="13" t="str">
        <f aca="false">IF('Carga Vigilador'!F29="","",'Carga Vigilador'!F29)</f>
        <v/>
      </c>
      <c r="G29" s="13" t="str">
        <f aca="false">IF('Carga Vigilador'!G29="","",'Carga Vigilador'!G29)</f>
        <v/>
      </c>
      <c r="H29" s="14"/>
      <c r="I29" s="15"/>
      <c r="J29" s="14"/>
      <c r="K29" s="15"/>
      <c r="L29" s="16"/>
      <c r="M29" s="17"/>
      <c r="N29" s="18" t="str">
        <f aca="false">IF(B29="","",IF(J29="Sí","Multa aplicada",IF(J29="No","Sin multa",IF(H29="Sí","Descargo enviado","Pendiente"))))</f>
        <v/>
      </c>
    </row>
    <row r="30" customFormat="false" ht="15" hidden="false" customHeight="false" outlineLevel="0" collapsed="false">
      <c r="A30" s="6" t="str">
        <f aca="false">IF('Carga Vigilador'!A30="","",'Carga Vigilador'!A30)</f>
        <v/>
      </c>
      <c r="B30" s="11" t="str">
        <f aca="false">IF('Carga Vigilador'!B30="","",'Carga Vigilador'!B30)</f>
        <v/>
      </c>
      <c r="C30" s="12" t="str">
        <f aca="false">IF('Carga Vigilador'!C30="","",'Carga Vigilador'!C30)</f>
        <v/>
      </c>
      <c r="D30" s="13" t="str">
        <f aca="false">IF('Carga Vigilador'!D30="","",'Carga Vigilador'!D30)</f>
        <v/>
      </c>
      <c r="E30" s="6" t="str">
        <f aca="false">IF('Carga Vigilador'!E30="","",'Carga Vigilador'!E30)</f>
        <v/>
      </c>
      <c r="F30" s="13" t="str">
        <f aca="false">IF('Carga Vigilador'!F30="","",'Carga Vigilador'!F30)</f>
        <v/>
      </c>
      <c r="G30" s="13" t="str">
        <f aca="false">IF('Carga Vigilador'!G30="","",'Carga Vigilador'!G30)</f>
        <v/>
      </c>
      <c r="H30" s="14"/>
      <c r="I30" s="15"/>
      <c r="J30" s="14"/>
      <c r="K30" s="15"/>
      <c r="L30" s="16"/>
      <c r="M30" s="17"/>
      <c r="N30" s="18" t="str">
        <f aca="false">IF(B30="","",IF(J30="Sí","Multa aplicada",IF(J30="No","Sin multa",IF(H30="Sí","Descargo enviado","Pendiente"))))</f>
        <v/>
      </c>
    </row>
    <row r="31" customFormat="false" ht="15" hidden="false" customHeight="false" outlineLevel="0" collapsed="false">
      <c r="A31" s="6" t="str">
        <f aca="false">IF('Carga Vigilador'!A31="","",'Carga Vigilador'!A31)</f>
        <v/>
      </c>
      <c r="B31" s="11" t="str">
        <f aca="false">IF('Carga Vigilador'!B31="","",'Carga Vigilador'!B31)</f>
        <v/>
      </c>
      <c r="C31" s="12" t="str">
        <f aca="false">IF('Carga Vigilador'!C31="","",'Carga Vigilador'!C31)</f>
        <v/>
      </c>
      <c r="D31" s="13" t="str">
        <f aca="false">IF('Carga Vigilador'!D31="","",'Carga Vigilador'!D31)</f>
        <v/>
      </c>
      <c r="E31" s="6" t="str">
        <f aca="false">IF('Carga Vigilador'!E31="","",'Carga Vigilador'!E31)</f>
        <v/>
      </c>
      <c r="F31" s="13" t="str">
        <f aca="false">IF('Carga Vigilador'!F31="","",'Carga Vigilador'!F31)</f>
        <v/>
      </c>
      <c r="G31" s="13" t="str">
        <f aca="false">IF('Carga Vigilador'!G31="","",'Carga Vigilador'!G31)</f>
        <v/>
      </c>
      <c r="H31" s="14"/>
      <c r="I31" s="15"/>
      <c r="J31" s="14"/>
      <c r="K31" s="15"/>
      <c r="L31" s="16"/>
      <c r="M31" s="17"/>
      <c r="N31" s="18" t="str">
        <f aca="false">IF(B31="","",IF(J31="Sí","Multa aplicada",IF(J31="No","Sin multa",IF(H31="Sí","Descargo enviado","Pendiente"))))</f>
        <v/>
      </c>
    </row>
    <row r="32" customFormat="false" ht="15" hidden="false" customHeight="false" outlineLevel="0" collapsed="false">
      <c r="A32" s="6" t="str">
        <f aca="false">IF('Carga Vigilador'!A32="","",'Carga Vigilador'!A32)</f>
        <v/>
      </c>
      <c r="B32" s="11" t="str">
        <f aca="false">IF('Carga Vigilador'!B32="","",'Carga Vigilador'!B32)</f>
        <v/>
      </c>
      <c r="C32" s="12" t="str">
        <f aca="false">IF('Carga Vigilador'!C32="","",'Carga Vigilador'!C32)</f>
        <v/>
      </c>
      <c r="D32" s="13" t="str">
        <f aca="false">IF('Carga Vigilador'!D32="","",'Carga Vigilador'!D32)</f>
        <v/>
      </c>
      <c r="E32" s="6" t="str">
        <f aca="false">IF('Carga Vigilador'!E32="","",'Carga Vigilador'!E32)</f>
        <v/>
      </c>
      <c r="F32" s="13" t="str">
        <f aca="false">IF('Carga Vigilador'!F32="","",'Carga Vigilador'!F32)</f>
        <v/>
      </c>
      <c r="G32" s="13" t="str">
        <f aca="false">IF('Carga Vigilador'!G32="","",'Carga Vigilador'!G32)</f>
        <v/>
      </c>
      <c r="H32" s="14"/>
      <c r="I32" s="15"/>
      <c r="J32" s="14"/>
      <c r="K32" s="15"/>
      <c r="L32" s="16"/>
      <c r="M32" s="17"/>
      <c r="N32" s="18" t="str">
        <f aca="false">IF(B32="","",IF(J32="Sí","Multa aplicada",IF(J32="No","Sin multa",IF(H32="Sí","Descargo enviado","Pendiente"))))</f>
        <v/>
      </c>
    </row>
    <row r="33" customFormat="false" ht="15" hidden="false" customHeight="false" outlineLevel="0" collapsed="false">
      <c r="A33" s="6" t="str">
        <f aca="false">IF('Carga Vigilador'!A33="","",'Carga Vigilador'!A33)</f>
        <v/>
      </c>
      <c r="B33" s="11" t="str">
        <f aca="false">IF('Carga Vigilador'!B33="","",'Carga Vigilador'!B33)</f>
        <v/>
      </c>
      <c r="C33" s="12" t="str">
        <f aca="false">IF('Carga Vigilador'!C33="","",'Carga Vigilador'!C33)</f>
        <v/>
      </c>
      <c r="D33" s="13" t="str">
        <f aca="false">IF('Carga Vigilador'!D33="","",'Carga Vigilador'!D33)</f>
        <v/>
      </c>
      <c r="E33" s="6" t="str">
        <f aca="false">IF('Carga Vigilador'!E33="","",'Carga Vigilador'!E33)</f>
        <v/>
      </c>
      <c r="F33" s="13" t="str">
        <f aca="false">IF('Carga Vigilador'!F33="","",'Carga Vigilador'!F33)</f>
        <v/>
      </c>
      <c r="G33" s="13" t="str">
        <f aca="false">IF('Carga Vigilador'!G33="","",'Carga Vigilador'!G33)</f>
        <v/>
      </c>
      <c r="H33" s="14"/>
      <c r="I33" s="15"/>
      <c r="J33" s="14"/>
      <c r="K33" s="15"/>
      <c r="L33" s="16"/>
      <c r="M33" s="17"/>
      <c r="N33" s="18" t="str">
        <f aca="false">IF(B33="","",IF(J33="Sí","Multa aplicada",IF(J33="No","Sin multa",IF(H33="Sí","Descargo enviado","Pendiente"))))</f>
        <v/>
      </c>
    </row>
    <row r="34" customFormat="false" ht="15" hidden="false" customHeight="false" outlineLevel="0" collapsed="false">
      <c r="A34" s="6" t="str">
        <f aca="false">IF('Carga Vigilador'!A34="","",'Carga Vigilador'!A34)</f>
        <v/>
      </c>
      <c r="B34" s="11" t="str">
        <f aca="false">IF('Carga Vigilador'!B34="","",'Carga Vigilador'!B34)</f>
        <v/>
      </c>
      <c r="C34" s="12" t="str">
        <f aca="false">IF('Carga Vigilador'!C34="","",'Carga Vigilador'!C34)</f>
        <v/>
      </c>
      <c r="D34" s="13" t="str">
        <f aca="false">IF('Carga Vigilador'!D34="","",'Carga Vigilador'!D34)</f>
        <v/>
      </c>
      <c r="E34" s="6" t="str">
        <f aca="false">IF('Carga Vigilador'!E34="","",'Carga Vigilador'!E34)</f>
        <v/>
      </c>
      <c r="F34" s="13" t="str">
        <f aca="false">IF('Carga Vigilador'!F34="","",'Carga Vigilador'!F34)</f>
        <v/>
      </c>
      <c r="G34" s="13" t="str">
        <f aca="false">IF('Carga Vigilador'!G34="","",'Carga Vigilador'!G34)</f>
        <v/>
      </c>
      <c r="H34" s="14"/>
      <c r="I34" s="15"/>
      <c r="J34" s="14"/>
      <c r="K34" s="15"/>
      <c r="L34" s="16"/>
      <c r="M34" s="17"/>
      <c r="N34" s="18" t="str">
        <f aca="false">IF(B34="","",IF(J34="Sí","Multa aplicada",IF(J34="No","Sin multa",IF(H34="Sí","Descargo enviado","Pendiente"))))</f>
        <v/>
      </c>
    </row>
    <row r="35" customFormat="false" ht="15" hidden="false" customHeight="false" outlineLevel="0" collapsed="false">
      <c r="A35" s="6" t="str">
        <f aca="false">IF('Carga Vigilador'!A35="","",'Carga Vigilador'!A35)</f>
        <v/>
      </c>
      <c r="B35" s="11" t="str">
        <f aca="false">IF('Carga Vigilador'!B35="","",'Carga Vigilador'!B35)</f>
        <v/>
      </c>
      <c r="C35" s="12" t="str">
        <f aca="false">IF('Carga Vigilador'!C35="","",'Carga Vigilador'!C35)</f>
        <v/>
      </c>
      <c r="D35" s="13" t="str">
        <f aca="false">IF('Carga Vigilador'!D35="","",'Carga Vigilador'!D35)</f>
        <v/>
      </c>
      <c r="E35" s="6" t="str">
        <f aca="false">IF('Carga Vigilador'!E35="","",'Carga Vigilador'!E35)</f>
        <v/>
      </c>
      <c r="F35" s="13" t="str">
        <f aca="false">IF('Carga Vigilador'!F35="","",'Carga Vigilador'!F35)</f>
        <v/>
      </c>
      <c r="G35" s="13" t="str">
        <f aca="false">IF('Carga Vigilador'!G35="","",'Carga Vigilador'!G35)</f>
        <v/>
      </c>
      <c r="H35" s="14"/>
      <c r="I35" s="15"/>
      <c r="J35" s="14"/>
      <c r="K35" s="15"/>
      <c r="L35" s="16"/>
      <c r="M35" s="17"/>
      <c r="N35" s="18" t="str">
        <f aca="false">IF(B35="","",IF(J35="Sí","Multa aplicada",IF(J35="No","Sin multa",IF(H35="Sí","Descargo enviado","Pendiente"))))</f>
        <v/>
      </c>
    </row>
    <row r="36" customFormat="false" ht="15" hidden="false" customHeight="false" outlineLevel="0" collapsed="false">
      <c r="A36" s="6" t="str">
        <f aca="false">IF('Carga Vigilador'!A36="","",'Carga Vigilador'!A36)</f>
        <v/>
      </c>
      <c r="B36" s="11" t="str">
        <f aca="false">IF('Carga Vigilador'!B36="","",'Carga Vigilador'!B36)</f>
        <v/>
      </c>
      <c r="C36" s="12" t="str">
        <f aca="false">IF('Carga Vigilador'!C36="","",'Carga Vigilador'!C36)</f>
        <v/>
      </c>
      <c r="D36" s="13" t="str">
        <f aca="false">IF('Carga Vigilador'!D36="","",'Carga Vigilador'!D36)</f>
        <v/>
      </c>
      <c r="E36" s="6" t="str">
        <f aca="false">IF('Carga Vigilador'!E36="","",'Carga Vigilador'!E36)</f>
        <v/>
      </c>
      <c r="F36" s="13" t="str">
        <f aca="false">IF('Carga Vigilador'!F36="","",'Carga Vigilador'!F36)</f>
        <v/>
      </c>
      <c r="G36" s="13" t="str">
        <f aca="false">IF('Carga Vigilador'!G36="","",'Carga Vigilador'!G36)</f>
        <v/>
      </c>
      <c r="H36" s="14"/>
      <c r="I36" s="15"/>
      <c r="J36" s="14"/>
      <c r="K36" s="15"/>
      <c r="L36" s="16"/>
      <c r="M36" s="17"/>
      <c r="N36" s="18" t="str">
        <f aca="false">IF(B36="","",IF(J36="Sí","Multa aplicada",IF(J36="No","Sin multa",IF(H36="Sí","Descargo enviado","Pendiente"))))</f>
        <v/>
      </c>
    </row>
    <row r="37" customFormat="false" ht="15" hidden="false" customHeight="false" outlineLevel="0" collapsed="false">
      <c r="A37" s="6" t="str">
        <f aca="false">IF('Carga Vigilador'!A37="","",'Carga Vigilador'!A37)</f>
        <v/>
      </c>
      <c r="B37" s="11" t="str">
        <f aca="false">IF('Carga Vigilador'!B37="","",'Carga Vigilador'!B37)</f>
        <v/>
      </c>
      <c r="C37" s="12" t="str">
        <f aca="false">IF('Carga Vigilador'!C37="","",'Carga Vigilador'!C37)</f>
        <v/>
      </c>
      <c r="D37" s="13" t="str">
        <f aca="false">IF('Carga Vigilador'!D37="","",'Carga Vigilador'!D37)</f>
        <v/>
      </c>
      <c r="E37" s="6" t="str">
        <f aca="false">IF('Carga Vigilador'!E37="","",'Carga Vigilador'!E37)</f>
        <v/>
      </c>
      <c r="F37" s="13" t="str">
        <f aca="false">IF('Carga Vigilador'!F37="","",'Carga Vigilador'!F37)</f>
        <v/>
      </c>
      <c r="G37" s="13" t="str">
        <f aca="false">IF('Carga Vigilador'!G37="","",'Carga Vigilador'!G37)</f>
        <v/>
      </c>
      <c r="H37" s="14"/>
      <c r="I37" s="15"/>
      <c r="J37" s="14"/>
      <c r="K37" s="15"/>
      <c r="L37" s="16"/>
      <c r="M37" s="17"/>
      <c r="N37" s="18" t="str">
        <f aca="false">IF(B37="","",IF(J37="Sí","Multa aplicada",IF(J37="No","Sin multa",IF(H37="Sí","Descargo enviado","Pendiente"))))</f>
        <v/>
      </c>
    </row>
    <row r="38" customFormat="false" ht="15" hidden="false" customHeight="false" outlineLevel="0" collapsed="false">
      <c r="A38" s="6" t="str">
        <f aca="false">IF('Carga Vigilador'!A38="","",'Carga Vigilador'!A38)</f>
        <v/>
      </c>
      <c r="B38" s="11" t="str">
        <f aca="false">IF('Carga Vigilador'!B38="","",'Carga Vigilador'!B38)</f>
        <v/>
      </c>
      <c r="C38" s="12" t="str">
        <f aca="false">IF('Carga Vigilador'!C38="","",'Carga Vigilador'!C38)</f>
        <v/>
      </c>
      <c r="D38" s="13" t="str">
        <f aca="false">IF('Carga Vigilador'!D38="","",'Carga Vigilador'!D38)</f>
        <v/>
      </c>
      <c r="E38" s="6" t="str">
        <f aca="false">IF('Carga Vigilador'!E38="","",'Carga Vigilador'!E38)</f>
        <v/>
      </c>
      <c r="F38" s="13" t="str">
        <f aca="false">IF('Carga Vigilador'!F38="","",'Carga Vigilador'!F38)</f>
        <v/>
      </c>
      <c r="G38" s="13" t="str">
        <f aca="false">IF('Carga Vigilador'!G38="","",'Carga Vigilador'!G38)</f>
        <v/>
      </c>
      <c r="H38" s="14"/>
      <c r="I38" s="15"/>
      <c r="J38" s="14"/>
      <c r="K38" s="15"/>
      <c r="L38" s="16"/>
      <c r="M38" s="17"/>
      <c r="N38" s="18" t="str">
        <f aca="false">IF(B38="","",IF(J38="Sí","Multa aplicada",IF(J38="No","Sin multa",IF(H38="Sí","Descargo enviado","Pendiente"))))</f>
        <v/>
      </c>
    </row>
    <row r="39" customFormat="false" ht="15" hidden="false" customHeight="false" outlineLevel="0" collapsed="false">
      <c r="A39" s="6" t="str">
        <f aca="false">IF('Carga Vigilador'!A39="","",'Carga Vigilador'!A39)</f>
        <v/>
      </c>
      <c r="B39" s="11" t="str">
        <f aca="false">IF('Carga Vigilador'!B39="","",'Carga Vigilador'!B39)</f>
        <v/>
      </c>
      <c r="C39" s="12" t="str">
        <f aca="false">IF('Carga Vigilador'!C39="","",'Carga Vigilador'!C39)</f>
        <v/>
      </c>
      <c r="D39" s="13" t="str">
        <f aca="false">IF('Carga Vigilador'!D39="","",'Carga Vigilador'!D39)</f>
        <v/>
      </c>
      <c r="E39" s="6" t="str">
        <f aca="false">IF('Carga Vigilador'!E39="","",'Carga Vigilador'!E39)</f>
        <v/>
      </c>
      <c r="F39" s="13" t="str">
        <f aca="false">IF('Carga Vigilador'!F39="","",'Carga Vigilador'!F39)</f>
        <v/>
      </c>
      <c r="G39" s="13" t="str">
        <f aca="false">IF('Carga Vigilador'!G39="","",'Carga Vigilador'!G39)</f>
        <v/>
      </c>
      <c r="H39" s="14"/>
      <c r="I39" s="15"/>
      <c r="J39" s="14"/>
      <c r="K39" s="15"/>
      <c r="L39" s="16"/>
      <c r="M39" s="17"/>
      <c r="N39" s="18" t="str">
        <f aca="false">IF(B39="","",IF(J39="Sí","Multa aplicada",IF(J39="No","Sin multa",IF(H39="Sí","Descargo enviado","Pendiente"))))</f>
        <v/>
      </c>
    </row>
    <row r="40" customFormat="false" ht="15" hidden="false" customHeight="false" outlineLevel="0" collapsed="false">
      <c r="A40" s="6" t="str">
        <f aca="false">IF('Carga Vigilador'!A40="","",'Carga Vigilador'!A40)</f>
        <v/>
      </c>
      <c r="B40" s="11" t="str">
        <f aca="false">IF('Carga Vigilador'!B40="","",'Carga Vigilador'!B40)</f>
        <v/>
      </c>
      <c r="C40" s="12" t="str">
        <f aca="false">IF('Carga Vigilador'!C40="","",'Carga Vigilador'!C40)</f>
        <v/>
      </c>
      <c r="D40" s="13" t="str">
        <f aca="false">IF('Carga Vigilador'!D40="","",'Carga Vigilador'!D40)</f>
        <v/>
      </c>
      <c r="E40" s="6" t="str">
        <f aca="false">IF('Carga Vigilador'!E40="","",'Carga Vigilador'!E40)</f>
        <v/>
      </c>
      <c r="F40" s="13" t="str">
        <f aca="false">IF('Carga Vigilador'!F40="","",'Carga Vigilador'!F40)</f>
        <v/>
      </c>
      <c r="G40" s="13" t="str">
        <f aca="false">IF('Carga Vigilador'!G40="","",'Carga Vigilador'!G40)</f>
        <v/>
      </c>
      <c r="H40" s="14"/>
      <c r="I40" s="15"/>
      <c r="J40" s="14"/>
      <c r="K40" s="15"/>
      <c r="L40" s="16"/>
      <c r="M40" s="17"/>
      <c r="N40" s="18" t="str">
        <f aca="false">IF(B40="","",IF(J40="Sí","Multa aplicada",IF(J40="No","Sin multa",IF(H40="Sí","Descargo enviado","Pendiente"))))</f>
        <v/>
      </c>
    </row>
    <row r="41" customFormat="false" ht="15" hidden="false" customHeight="false" outlineLevel="0" collapsed="false">
      <c r="A41" s="6" t="str">
        <f aca="false">IF('Carga Vigilador'!A41="","",'Carga Vigilador'!A41)</f>
        <v/>
      </c>
      <c r="B41" s="11" t="str">
        <f aca="false">IF('Carga Vigilador'!B41="","",'Carga Vigilador'!B41)</f>
        <v/>
      </c>
      <c r="C41" s="12" t="str">
        <f aca="false">IF('Carga Vigilador'!C41="","",'Carga Vigilador'!C41)</f>
        <v/>
      </c>
      <c r="D41" s="13" t="str">
        <f aca="false">IF('Carga Vigilador'!D41="","",'Carga Vigilador'!D41)</f>
        <v/>
      </c>
      <c r="E41" s="6" t="str">
        <f aca="false">IF('Carga Vigilador'!E41="","",'Carga Vigilador'!E41)</f>
        <v/>
      </c>
      <c r="F41" s="13" t="str">
        <f aca="false">IF('Carga Vigilador'!F41="","",'Carga Vigilador'!F41)</f>
        <v/>
      </c>
      <c r="G41" s="13" t="str">
        <f aca="false">IF('Carga Vigilador'!G41="","",'Carga Vigilador'!G41)</f>
        <v/>
      </c>
      <c r="H41" s="14"/>
      <c r="I41" s="15"/>
      <c r="J41" s="14"/>
      <c r="K41" s="15"/>
      <c r="L41" s="16"/>
      <c r="M41" s="17"/>
      <c r="N41" s="18" t="str">
        <f aca="false">IF(B41="","",IF(J41="Sí","Multa aplicada",IF(J41="No","Sin multa",IF(H41="Sí","Descargo enviado","Pendiente"))))</f>
        <v/>
      </c>
    </row>
    <row r="42" customFormat="false" ht="15" hidden="false" customHeight="false" outlineLevel="0" collapsed="false">
      <c r="A42" s="6" t="str">
        <f aca="false">IF('Carga Vigilador'!A42="","",'Carga Vigilador'!A42)</f>
        <v/>
      </c>
      <c r="B42" s="11" t="str">
        <f aca="false">IF('Carga Vigilador'!B42="","",'Carga Vigilador'!B42)</f>
        <v/>
      </c>
      <c r="C42" s="12" t="str">
        <f aca="false">IF('Carga Vigilador'!C42="","",'Carga Vigilador'!C42)</f>
        <v/>
      </c>
      <c r="D42" s="13" t="str">
        <f aca="false">IF('Carga Vigilador'!D42="","",'Carga Vigilador'!D42)</f>
        <v/>
      </c>
      <c r="E42" s="6" t="str">
        <f aca="false">IF('Carga Vigilador'!E42="","",'Carga Vigilador'!E42)</f>
        <v/>
      </c>
      <c r="F42" s="13" t="str">
        <f aca="false">IF('Carga Vigilador'!F42="","",'Carga Vigilador'!F42)</f>
        <v/>
      </c>
      <c r="G42" s="13" t="str">
        <f aca="false">IF('Carga Vigilador'!G42="","",'Carga Vigilador'!G42)</f>
        <v/>
      </c>
      <c r="H42" s="14"/>
      <c r="I42" s="15"/>
      <c r="J42" s="14"/>
      <c r="K42" s="15"/>
      <c r="L42" s="16"/>
      <c r="M42" s="17"/>
      <c r="N42" s="18" t="str">
        <f aca="false">IF(B42="","",IF(J42="Sí","Multa aplicada",IF(J42="No","Sin multa",IF(H42="Sí","Descargo enviado","Pendiente"))))</f>
        <v/>
      </c>
    </row>
    <row r="43" customFormat="false" ht="15" hidden="false" customHeight="false" outlineLevel="0" collapsed="false">
      <c r="A43" s="6" t="str">
        <f aca="false">IF('Carga Vigilador'!A43="","",'Carga Vigilador'!A43)</f>
        <v/>
      </c>
      <c r="B43" s="11" t="str">
        <f aca="false">IF('Carga Vigilador'!B43="","",'Carga Vigilador'!B43)</f>
        <v/>
      </c>
      <c r="C43" s="12" t="str">
        <f aca="false">IF('Carga Vigilador'!C43="","",'Carga Vigilador'!C43)</f>
        <v/>
      </c>
      <c r="D43" s="13" t="str">
        <f aca="false">IF('Carga Vigilador'!D43="","",'Carga Vigilador'!D43)</f>
        <v/>
      </c>
      <c r="E43" s="6" t="str">
        <f aca="false">IF('Carga Vigilador'!E43="","",'Carga Vigilador'!E43)</f>
        <v/>
      </c>
      <c r="F43" s="13" t="str">
        <f aca="false">IF('Carga Vigilador'!F43="","",'Carga Vigilador'!F43)</f>
        <v/>
      </c>
      <c r="G43" s="13" t="str">
        <f aca="false">IF('Carga Vigilador'!G43="","",'Carga Vigilador'!G43)</f>
        <v/>
      </c>
      <c r="H43" s="14"/>
      <c r="I43" s="15"/>
      <c r="J43" s="14"/>
      <c r="K43" s="15"/>
      <c r="L43" s="16"/>
      <c r="M43" s="17"/>
      <c r="N43" s="18" t="str">
        <f aca="false">IF(B43="","",IF(J43="Sí","Multa aplicada",IF(J43="No","Sin multa",IF(H43="Sí","Descargo enviado","Pendiente"))))</f>
        <v/>
      </c>
    </row>
    <row r="44" customFormat="false" ht="15" hidden="false" customHeight="false" outlineLevel="0" collapsed="false">
      <c r="A44" s="6" t="str">
        <f aca="false">IF('Carga Vigilador'!A44="","",'Carga Vigilador'!A44)</f>
        <v/>
      </c>
      <c r="B44" s="11" t="str">
        <f aca="false">IF('Carga Vigilador'!B44="","",'Carga Vigilador'!B44)</f>
        <v/>
      </c>
      <c r="C44" s="12" t="str">
        <f aca="false">IF('Carga Vigilador'!C44="","",'Carga Vigilador'!C44)</f>
        <v/>
      </c>
      <c r="D44" s="13" t="str">
        <f aca="false">IF('Carga Vigilador'!D44="","",'Carga Vigilador'!D44)</f>
        <v/>
      </c>
      <c r="E44" s="6" t="str">
        <f aca="false">IF('Carga Vigilador'!E44="","",'Carga Vigilador'!E44)</f>
        <v/>
      </c>
      <c r="F44" s="13" t="str">
        <f aca="false">IF('Carga Vigilador'!F44="","",'Carga Vigilador'!F44)</f>
        <v/>
      </c>
      <c r="G44" s="13" t="str">
        <f aca="false">IF('Carga Vigilador'!G44="","",'Carga Vigilador'!G44)</f>
        <v/>
      </c>
      <c r="H44" s="14"/>
      <c r="I44" s="15"/>
      <c r="J44" s="14"/>
      <c r="K44" s="15"/>
      <c r="L44" s="16"/>
      <c r="M44" s="17"/>
      <c r="N44" s="18" t="str">
        <f aca="false">IF(B44="","",IF(J44="Sí","Multa aplicada",IF(J44="No","Sin multa",IF(H44="Sí","Descargo enviado","Pendiente"))))</f>
        <v/>
      </c>
    </row>
    <row r="45" customFormat="false" ht="15" hidden="false" customHeight="false" outlineLevel="0" collapsed="false">
      <c r="A45" s="6" t="str">
        <f aca="false">IF('Carga Vigilador'!A45="","",'Carga Vigilador'!A45)</f>
        <v/>
      </c>
      <c r="B45" s="11" t="str">
        <f aca="false">IF('Carga Vigilador'!B45="","",'Carga Vigilador'!B45)</f>
        <v/>
      </c>
      <c r="C45" s="12" t="str">
        <f aca="false">IF('Carga Vigilador'!C45="","",'Carga Vigilador'!C45)</f>
        <v/>
      </c>
      <c r="D45" s="13" t="str">
        <f aca="false">IF('Carga Vigilador'!D45="","",'Carga Vigilador'!D45)</f>
        <v/>
      </c>
      <c r="E45" s="6" t="str">
        <f aca="false">IF('Carga Vigilador'!E45="","",'Carga Vigilador'!E45)</f>
        <v/>
      </c>
      <c r="F45" s="13" t="str">
        <f aca="false">IF('Carga Vigilador'!F45="","",'Carga Vigilador'!F45)</f>
        <v/>
      </c>
      <c r="G45" s="13" t="str">
        <f aca="false">IF('Carga Vigilador'!G45="","",'Carga Vigilador'!G45)</f>
        <v/>
      </c>
      <c r="H45" s="14"/>
      <c r="I45" s="15"/>
      <c r="J45" s="14"/>
      <c r="K45" s="15"/>
      <c r="L45" s="16"/>
      <c r="M45" s="17"/>
      <c r="N45" s="18" t="str">
        <f aca="false">IF(B45="","",IF(J45="Sí","Multa aplicada",IF(J45="No","Sin multa",IF(H45="Sí","Descargo enviado","Pendiente"))))</f>
        <v/>
      </c>
    </row>
    <row r="46" customFormat="false" ht="15" hidden="false" customHeight="false" outlineLevel="0" collapsed="false">
      <c r="A46" s="6" t="str">
        <f aca="false">IF('Carga Vigilador'!A46="","",'Carga Vigilador'!A46)</f>
        <v/>
      </c>
      <c r="B46" s="11" t="str">
        <f aca="false">IF('Carga Vigilador'!B46="","",'Carga Vigilador'!B46)</f>
        <v/>
      </c>
      <c r="C46" s="12" t="str">
        <f aca="false">IF('Carga Vigilador'!C46="","",'Carga Vigilador'!C46)</f>
        <v/>
      </c>
      <c r="D46" s="13" t="str">
        <f aca="false">IF('Carga Vigilador'!D46="","",'Carga Vigilador'!D46)</f>
        <v/>
      </c>
      <c r="E46" s="6" t="str">
        <f aca="false">IF('Carga Vigilador'!E46="","",'Carga Vigilador'!E46)</f>
        <v/>
      </c>
      <c r="F46" s="13" t="str">
        <f aca="false">IF('Carga Vigilador'!F46="","",'Carga Vigilador'!F46)</f>
        <v/>
      </c>
      <c r="G46" s="13" t="str">
        <f aca="false">IF('Carga Vigilador'!G46="","",'Carga Vigilador'!G46)</f>
        <v/>
      </c>
      <c r="H46" s="14"/>
      <c r="I46" s="15"/>
      <c r="J46" s="14"/>
      <c r="K46" s="15"/>
      <c r="L46" s="16"/>
      <c r="M46" s="17"/>
      <c r="N46" s="18" t="str">
        <f aca="false">IF(B46="","",IF(J46="Sí","Multa aplicada",IF(J46="No","Sin multa",IF(H46="Sí","Descargo enviado","Pendiente"))))</f>
        <v/>
      </c>
    </row>
    <row r="47" customFormat="false" ht="15" hidden="false" customHeight="false" outlineLevel="0" collapsed="false">
      <c r="A47" s="6" t="str">
        <f aca="false">IF('Carga Vigilador'!A47="","",'Carga Vigilador'!A47)</f>
        <v/>
      </c>
      <c r="B47" s="11" t="str">
        <f aca="false">IF('Carga Vigilador'!B47="","",'Carga Vigilador'!B47)</f>
        <v/>
      </c>
      <c r="C47" s="12" t="str">
        <f aca="false">IF('Carga Vigilador'!C47="","",'Carga Vigilador'!C47)</f>
        <v/>
      </c>
      <c r="D47" s="13" t="str">
        <f aca="false">IF('Carga Vigilador'!D47="","",'Carga Vigilador'!D47)</f>
        <v/>
      </c>
      <c r="E47" s="6" t="str">
        <f aca="false">IF('Carga Vigilador'!E47="","",'Carga Vigilador'!E47)</f>
        <v/>
      </c>
      <c r="F47" s="13" t="str">
        <f aca="false">IF('Carga Vigilador'!F47="","",'Carga Vigilador'!F47)</f>
        <v/>
      </c>
      <c r="G47" s="13" t="str">
        <f aca="false">IF('Carga Vigilador'!G47="","",'Carga Vigilador'!G47)</f>
        <v/>
      </c>
      <c r="H47" s="14"/>
      <c r="I47" s="15"/>
      <c r="J47" s="14"/>
      <c r="K47" s="15"/>
      <c r="L47" s="16"/>
      <c r="M47" s="17"/>
      <c r="N47" s="18" t="str">
        <f aca="false">IF(B47="","",IF(J47="Sí","Multa aplicada",IF(J47="No","Sin multa",IF(H47="Sí","Descargo enviado","Pendiente"))))</f>
        <v/>
      </c>
    </row>
    <row r="48" customFormat="false" ht="15" hidden="false" customHeight="false" outlineLevel="0" collapsed="false">
      <c r="A48" s="6" t="str">
        <f aca="false">IF('Carga Vigilador'!A48="","",'Carga Vigilador'!A48)</f>
        <v/>
      </c>
      <c r="B48" s="11" t="str">
        <f aca="false">IF('Carga Vigilador'!B48="","",'Carga Vigilador'!B48)</f>
        <v/>
      </c>
      <c r="C48" s="12" t="str">
        <f aca="false">IF('Carga Vigilador'!C48="","",'Carga Vigilador'!C48)</f>
        <v/>
      </c>
      <c r="D48" s="13" t="str">
        <f aca="false">IF('Carga Vigilador'!D48="","",'Carga Vigilador'!D48)</f>
        <v/>
      </c>
      <c r="E48" s="6" t="str">
        <f aca="false">IF('Carga Vigilador'!E48="","",'Carga Vigilador'!E48)</f>
        <v/>
      </c>
      <c r="F48" s="13" t="str">
        <f aca="false">IF('Carga Vigilador'!F48="","",'Carga Vigilador'!F48)</f>
        <v/>
      </c>
      <c r="G48" s="13" t="str">
        <f aca="false">IF('Carga Vigilador'!G48="","",'Carga Vigilador'!G48)</f>
        <v/>
      </c>
      <c r="H48" s="14"/>
      <c r="I48" s="15"/>
      <c r="J48" s="14"/>
      <c r="K48" s="15"/>
      <c r="L48" s="16"/>
      <c r="M48" s="17"/>
      <c r="N48" s="18" t="str">
        <f aca="false">IF(B48="","",IF(J48="Sí","Multa aplicada",IF(J48="No","Sin multa",IF(H48="Sí","Descargo enviado","Pendiente"))))</f>
        <v/>
      </c>
    </row>
    <row r="49" customFormat="false" ht="15" hidden="false" customHeight="false" outlineLevel="0" collapsed="false">
      <c r="A49" s="6" t="str">
        <f aca="false">IF('Carga Vigilador'!A49="","",'Carga Vigilador'!A49)</f>
        <v/>
      </c>
      <c r="B49" s="11" t="str">
        <f aca="false">IF('Carga Vigilador'!B49="","",'Carga Vigilador'!B49)</f>
        <v/>
      </c>
      <c r="C49" s="12" t="str">
        <f aca="false">IF('Carga Vigilador'!C49="","",'Carga Vigilador'!C49)</f>
        <v/>
      </c>
      <c r="D49" s="13" t="str">
        <f aca="false">IF('Carga Vigilador'!D49="","",'Carga Vigilador'!D49)</f>
        <v/>
      </c>
      <c r="E49" s="6" t="str">
        <f aca="false">IF('Carga Vigilador'!E49="","",'Carga Vigilador'!E49)</f>
        <v/>
      </c>
      <c r="F49" s="13" t="str">
        <f aca="false">IF('Carga Vigilador'!F49="","",'Carga Vigilador'!F49)</f>
        <v/>
      </c>
      <c r="G49" s="13" t="str">
        <f aca="false">IF('Carga Vigilador'!G49="","",'Carga Vigilador'!G49)</f>
        <v/>
      </c>
      <c r="H49" s="14"/>
      <c r="I49" s="15"/>
      <c r="J49" s="14"/>
      <c r="K49" s="15"/>
      <c r="L49" s="16"/>
      <c r="M49" s="17"/>
      <c r="N49" s="18" t="str">
        <f aca="false">IF(B49="","",IF(J49="Sí","Multa aplicada",IF(J49="No","Sin multa",IF(H49="Sí","Descargo enviado","Pendiente"))))</f>
        <v/>
      </c>
    </row>
    <row r="50" customFormat="false" ht="15" hidden="false" customHeight="false" outlineLevel="0" collapsed="false">
      <c r="A50" s="6" t="str">
        <f aca="false">IF('Carga Vigilador'!A50="","",'Carga Vigilador'!A50)</f>
        <v/>
      </c>
      <c r="B50" s="11" t="str">
        <f aca="false">IF('Carga Vigilador'!B50="","",'Carga Vigilador'!B50)</f>
        <v/>
      </c>
      <c r="C50" s="12" t="str">
        <f aca="false">IF('Carga Vigilador'!C50="","",'Carga Vigilador'!C50)</f>
        <v/>
      </c>
      <c r="D50" s="13" t="str">
        <f aca="false">IF('Carga Vigilador'!D50="","",'Carga Vigilador'!D50)</f>
        <v/>
      </c>
      <c r="E50" s="6" t="str">
        <f aca="false">IF('Carga Vigilador'!E50="","",'Carga Vigilador'!E50)</f>
        <v/>
      </c>
      <c r="F50" s="13" t="str">
        <f aca="false">IF('Carga Vigilador'!F50="","",'Carga Vigilador'!F50)</f>
        <v/>
      </c>
      <c r="G50" s="13" t="str">
        <f aca="false">IF('Carga Vigilador'!G50="","",'Carga Vigilador'!G50)</f>
        <v/>
      </c>
      <c r="H50" s="14"/>
      <c r="I50" s="15"/>
      <c r="J50" s="14"/>
      <c r="K50" s="15"/>
      <c r="L50" s="16"/>
      <c r="M50" s="17"/>
      <c r="N50" s="18" t="str">
        <f aca="false">IF(B50="","",IF(J50="Sí","Multa aplicada",IF(J50="No","Sin multa",IF(H50="Sí","Descargo enviado","Pendiente"))))</f>
        <v/>
      </c>
    </row>
    <row r="51" customFormat="false" ht="15" hidden="false" customHeight="false" outlineLevel="0" collapsed="false">
      <c r="A51" s="6" t="str">
        <f aca="false">IF('Carga Vigilador'!A51="","",'Carga Vigilador'!A51)</f>
        <v/>
      </c>
      <c r="B51" s="11" t="str">
        <f aca="false">IF('Carga Vigilador'!B51="","",'Carga Vigilador'!B51)</f>
        <v/>
      </c>
      <c r="C51" s="12" t="str">
        <f aca="false">IF('Carga Vigilador'!C51="","",'Carga Vigilador'!C51)</f>
        <v/>
      </c>
      <c r="D51" s="13" t="str">
        <f aca="false">IF('Carga Vigilador'!D51="","",'Carga Vigilador'!D51)</f>
        <v/>
      </c>
      <c r="E51" s="6" t="str">
        <f aca="false">IF('Carga Vigilador'!E51="","",'Carga Vigilador'!E51)</f>
        <v/>
      </c>
      <c r="F51" s="13" t="str">
        <f aca="false">IF('Carga Vigilador'!F51="","",'Carga Vigilador'!F51)</f>
        <v/>
      </c>
      <c r="G51" s="13" t="str">
        <f aca="false">IF('Carga Vigilador'!G51="","",'Carga Vigilador'!G51)</f>
        <v/>
      </c>
      <c r="H51" s="14"/>
      <c r="I51" s="15"/>
      <c r="J51" s="14"/>
      <c r="K51" s="15"/>
      <c r="L51" s="16"/>
      <c r="M51" s="17"/>
      <c r="N51" s="18" t="str">
        <f aca="false">IF(B51="","",IF(J51="Sí","Multa aplicada",IF(J51="No","Sin multa",IF(H51="Sí","Descargo enviado","Pendiente"))))</f>
        <v/>
      </c>
    </row>
    <row r="52" customFormat="false" ht="15" hidden="false" customHeight="false" outlineLevel="0" collapsed="false">
      <c r="A52" s="6" t="str">
        <f aca="false">IF('Carga Vigilador'!A52="","",'Carga Vigilador'!A52)</f>
        <v/>
      </c>
      <c r="B52" s="11" t="str">
        <f aca="false">IF('Carga Vigilador'!B52="","",'Carga Vigilador'!B52)</f>
        <v/>
      </c>
      <c r="C52" s="12" t="str">
        <f aca="false">IF('Carga Vigilador'!C52="","",'Carga Vigilador'!C52)</f>
        <v/>
      </c>
      <c r="D52" s="13" t="str">
        <f aca="false">IF('Carga Vigilador'!D52="","",'Carga Vigilador'!D52)</f>
        <v/>
      </c>
      <c r="E52" s="6" t="str">
        <f aca="false">IF('Carga Vigilador'!E52="","",'Carga Vigilador'!E52)</f>
        <v/>
      </c>
      <c r="F52" s="13" t="str">
        <f aca="false">IF('Carga Vigilador'!F52="","",'Carga Vigilador'!F52)</f>
        <v/>
      </c>
      <c r="G52" s="13" t="str">
        <f aca="false">IF('Carga Vigilador'!G52="","",'Carga Vigilador'!G52)</f>
        <v/>
      </c>
      <c r="H52" s="14"/>
      <c r="I52" s="15"/>
      <c r="J52" s="14"/>
      <c r="K52" s="15"/>
      <c r="L52" s="16"/>
      <c r="M52" s="17"/>
      <c r="N52" s="18" t="str">
        <f aca="false">IF(B52="","",IF(J52="Sí","Multa aplicada",IF(J52="No","Sin multa",IF(H52="Sí","Descargo enviado","Pendiente"))))</f>
        <v/>
      </c>
    </row>
    <row r="53" customFormat="false" ht="15" hidden="false" customHeight="false" outlineLevel="0" collapsed="false">
      <c r="A53" s="6" t="str">
        <f aca="false">IF('Carga Vigilador'!A53="","",'Carga Vigilador'!A53)</f>
        <v/>
      </c>
      <c r="B53" s="11" t="str">
        <f aca="false">IF('Carga Vigilador'!B53="","",'Carga Vigilador'!B53)</f>
        <v/>
      </c>
      <c r="C53" s="12" t="str">
        <f aca="false">IF('Carga Vigilador'!C53="","",'Carga Vigilador'!C53)</f>
        <v/>
      </c>
      <c r="D53" s="13" t="str">
        <f aca="false">IF('Carga Vigilador'!D53="","",'Carga Vigilador'!D53)</f>
        <v/>
      </c>
      <c r="E53" s="6" t="str">
        <f aca="false">IF('Carga Vigilador'!E53="","",'Carga Vigilador'!E53)</f>
        <v/>
      </c>
      <c r="F53" s="13" t="str">
        <f aca="false">IF('Carga Vigilador'!F53="","",'Carga Vigilador'!F53)</f>
        <v/>
      </c>
      <c r="G53" s="13" t="str">
        <f aca="false">IF('Carga Vigilador'!G53="","",'Carga Vigilador'!G53)</f>
        <v/>
      </c>
      <c r="H53" s="14"/>
      <c r="I53" s="15"/>
      <c r="J53" s="14"/>
      <c r="K53" s="15"/>
      <c r="L53" s="16"/>
      <c r="M53" s="17"/>
      <c r="N53" s="18" t="str">
        <f aca="false">IF(B53="","",IF(J53="Sí","Multa aplicada",IF(J53="No","Sin multa",IF(H53="Sí","Descargo enviado","Pendiente"))))</f>
        <v/>
      </c>
    </row>
    <row r="54" customFormat="false" ht="15" hidden="false" customHeight="false" outlineLevel="0" collapsed="false">
      <c r="A54" s="6" t="str">
        <f aca="false">IF('Carga Vigilador'!A54="","",'Carga Vigilador'!A54)</f>
        <v/>
      </c>
      <c r="B54" s="11" t="str">
        <f aca="false">IF('Carga Vigilador'!B54="","",'Carga Vigilador'!B54)</f>
        <v/>
      </c>
      <c r="C54" s="12" t="str">
        <f aca="false">IF('Carga Vigilador'!C54="","",'Carga Vigilador'!C54)</f>
        <v/>
      </c>
      <c r="D54" s="13" t="str">
        <f aca="false">IF('Carga Vigilador'!D54="","",'Carga Vigilador'!D54)</f>
        <v/>
      </c>
      <c r="E54" s="6" t="str">
        <f aca="false">IF('Carga Vigilador'!E54="","",'Carga Vigilador'!E54)</f>
        <v/>
      </c>
      <c r="F54" s="13" t="str">
        <f aca="false">IF('Carga Vigilador'!F54="","",'Carga Vigilador'!F54)</f>
        <v/>
      </c>
      <c r="G54" s="13" t="str">
        <f aca="false">IF('Carga Vigilador'!G54="","",'Carga Vigilador'!G54)</f>
        <v/>
      </c>
      <c r="H54" s="14"/>
      <c r="I54" s="15"/>
      <c r="J54" s="14"/>
      <c r="K54" s="15"/>
      <c r="L54" s="16"/>
      <c r="M54" s="17"/>
      <c r="N54" s="18" t="str">
        <f aca="false">IF(B54="","",IF(J54="Sí","Multa aplicada",IF(J54="No","Sin multa",IF(H54="Sí","Descargo enviado","Pendiente"))))</f>
        <v/>
      </c>
    </row>
    <row r="55" customFormat="false" ht="15" hidden="false" customHeight="false" outlineLevel="0" collapsed="false">
      <c r="A55" s="6" t="str">
        <f aca="false">IF('Carga Vigilador'!A55="","",'Carga Vigilador'!A55)</f>
        <v/>
      </c>
      <c r="B55" s="11" t="str">
        <f aca="false">IF('Carga Vigilador'!B55="","",'Carga Vigilador'!B55)</f>
        <v/>
      </c>
      <c r="C55" s="12" t="str">
        <f aca="false">IF('Carga Vigilador'!C55="","",'Carga Vigilador'!C55)</f>
        <v/>
      </c>
      <c r="D55" s="13" t="str">
        <f aca="false">IF('Carga Vigilador'!D55="","",'Carga Vigilador'!D55)</f>
        <v/>
      </c>
      <c r="E55" s="6" t="str">
        <f aca="false">IF('Carga Vigilador'!E55="","",'Carga Vigilador'!E55)</f>
        <v/>
      </c>
      <c r="F55" s="13" t="str">
        <f aca="false">IF('Carga Vigilador'!F55="","",'Carga Vigilador'!F55)</f>
        <v/>
      </c>
      <c r="G55" s="13" t="str">
        <f aca="false">IF('Carga Vigilador'!G55="","",'Carga Vigilador'!G55)</f>
        <v/>
      </c>
      <c r="H55" s="14"/>
      <c r="I55" s="15"/>
      <c r="J55" s="14"/>
      <c r="K55" s="15"/>
      <c r="L55" s="16"/>
      <c r="M55" s="17"/>
      <c r="N55" s="18" t="str">
        <f aca="false">IF(B55="","",IF(J55="Sí","Multa aplicada",IF(J55="No","Sin multa",IF(H55="Sí","Descargo enviado","Pendiente"))))</f>
        <v/>
      </c>
    </row>
    <row r="56" customFormat="false" ht="15" hidden="false" customHeight="false" outlineLevel="0" collapsed="false">
      <c r="A56" s="6" t="str">
        <f aca="false">IF('Carga Vigilador'!A56="","",'Carga Vigilador'!A56)</f>
        <v/>
      </c>
      <c r="B56" s="11" t="str">
        <f aca="false">IF('Carga Vigilador'!B56="","",'Carga Vigilador'!B56)</f>
        <v/>
      </c>
      <c r="C56" s="12" t="str">
        <f aca="false">IF('Carga Vigilador'!C56="","",'Carga Vigilador'!C56)</f>
        <v/>
      </c>
      <c r="D56" s="13" t="str">
        <f aca="false">IF('Carga Vigilador'!D56="","",'Carga Vigilador'!D56)</f>
        <v/>
      </c>
      <c r="E56" s="6" t="str">
        <f aca="false">IF('Carga Vigilador'!E56="","",'Carga Vigilador'!E56)</f>
        <v/>
      </c>
      <c r="F56" s="13" t="str">
        <f aca="false">IF('Carga Vigilador'!F56="","",'Carga Vigilador'!F56)</f>
        <v/>
      </c>
      <c r="G56" s="13" t="str">
        <f aca="false">IF('Carga Vigilador'!G56="","",'Carga Vigilador'!G56)</f>
        <v/>
      </c>
      <c r="H56" s="14"/>
      <c r="I56" s="15"/>
      <c r="J56" s="14"/>
      <c r="K56" s="15"/>
      <c r="L56" s="16"/>
      <c r="M56" s="17"/>
      <c r="N56" s="18" t="str">
        <f aca="false">IF(B56="","",IF(J56="Sí","Multa aplicada",IF(J56="No","Sin multa",IF(H56="Sí","Descargo enviado","Pendiente"))))</f>
        <v/>
      </c>
    </row>
    <row r="57" customFormat="false" ht="15" hidden="false" customHeight="false" outlineLevel="0" collapsed="false">
      <c r="A57" s="6" t="str">
        <f aca="false">IF('Carga Vigilador'!A57="","",'Carga Vigilador'!A57)</f>
        <v/>
      </c>
      <c r="B57" s="11" t="str">
        <f aca="false">IF('Carga Vigilador'!B57="","",'Carga Vigilador'!B57)</f>
        <v/>
      </c>
      <c r="C57" s="12" t="str">
        <f aca="false">IF('Carga Vigilador'!C57="","",'Carga Vigilador'!C57)</f>
        <v/>
      </c>
      <c r="D57" s="13" t="str">
        <f aca="false">IF('Carga Vigilador'!D57="","",'Carga Vigilador'!D57)</f>
        <v/>
      </c>
      <c r="E57" s="6" t="str">
        <f aca="false">IF('Carga Vigilador'!E57="","",'Carga Vigilador'!E57)</f>
        <v/>
      </c>
      <c r="F57" s="13" t="str">
        <f aca="false">IF('Carga Vigilador'!F57="","",'Carga Vigilador'!F57)</f>
        <v/>
      </c>
      <c r="G57" s="13" t="str">
        <f aca="false">IF('Carga Vigilador'!G57="","",'Carga Vigilador'!G57)</f>
        <v/>
      </c>
      <c r="H57" s="14"/>
      <c r="I57" s="15"/>
      <c r="J57" s="14"/>
      <c r="K57" s="15"/>
      <c r="L57" s="16"/>
      <c r="M57" s="17"/>
      <c r="N57" s="18" t="str">
        <f aca="false">IF(B57="","",IF(J57="Sí","Multa aplicada",IF(J57="No","Sin multa",IF(H57="Sí","Descargo enviado","Pendiente"))))</f>
        <v/>
      </c>
    </row>
    <row r="58" customFormat="false" ht="15" hidden="false" customHeight="false" outlineLevel="0" collapsed="false">
      <c r="A58" s="6" t="str">
        <f aca="false">IF('Carga Vigilador'!A58="","",'Carga Vigilador'!A58)</f>
        <v/>
      </c>
      <c r="B58" s="11" t="str">
        <f aca="false">IF('Carga Vigilador'!B58="","",'Carga Vigilador'!B58)</f>
        <v/>
      </c>
      <c r="C58" s="12" t="str">
        <f aca="false">IF('Carga Vigilador'!C58="","",'Carga Vigilador'!C58)</f>
        <v/>
      </c>
      <c r="D58" s="13" t="str">
        <f aca="false">IF('Carga Vigilador'!D58="","",'Carga Vigilador'!D58)</f>
        <v/>
      </c>
      <c r="E58" s="6" t="str">
        <f aca="false">IF('Carga Vigilador'!E58="","",'Carga Vigilador'!E58)</f>
        <v/>
      </c>
      <c r="F58" s="13" t="str">
        <f aca="false">IF('Carga Vigilador'!F58="","",'Carga Vigilador'!F58)</f>
        <v/>
      </c>
      <c r="G58" s="13" t="str">
        <f aca="false">IF('Carga Vigilador'!G58="","",'Carga Vigilador'!G58)</f>
        <v/>
      </c>
      <c r="H58" s="14"/>
      <c r="I58" s="15"/>
      <c r="J58" s="14"/>
      <c r="K58" s="15"/>
      <c r="L58" s="16"/>
      <c r="M58" s="17"/>
      <c r="N58" s="18" t="str">
        <f aca="false">IF(B58="","",IF(J58="Sí","Multa aplicada",IF(J58="No","Sin multa",IF(H58="Sí","Descargo enviado","Pendiente"))))</f>
        <v/>
      </c>
    </row>
    <row r="59" customFormat="false" ht="15" hidden="false" customHeight="false" outlineLevel="0" collapsed="false">
      <c r="A59" s="6" t="str">
        <f aca="false">IF('Carga Vigilador'!A59="","",'Carga Vigilador'!A59)</f>
        <v/>
      </c>
      <c r="B59" s="11" t="str">
        <f aca="false">IF('Carga Vigilador'!B59="","",'Carga Vigilador'!B59)</f>
        <v/>
      </c>
      <c r="C59" s="12" t="str">
        <f aca="false">IF('Carga Vigilador'!C59="","",'Carga Vigilador'!C59)</f>
        <v/>
      </c>
      <c r="D59" s="13" t="str">
        <f aca="false">IF('Carga Vigilador'!D59="","",'Carga Vigilador'!D59)</f>
        <v/>
      </c>
      <c r="E59" s="6" t="str">
        <f aca="false">IF('Carga Vigilador'!E59="","",'Carga Vigilador'!E59)</f>
        <v/>
      </c>
      <c r="F59" s="13" t="str">
        <f aca="false">IF('Carga Vigilador'!F59="","",'Carga Vigilador'!F59)</f>
        <v/>
      </c>
      <c r="G59" s="13" t="str">
        <f aca="false">IF('Carga Vigilador'!G59="","",'Carga Vigilador'!G59)</f>
        <v/>
      </c>
      <c r="H59" s="14"/>
      <c r="I59" s="15"/>
      <c r="J59" s="14"/>
      <c r="K59" s="15"/>
      <c r="L59" s="16"/>
      <c r="M59" s="17"/>
      <c r="N59" s="18" t="str">
        <f aca="false">IF(B59="","",IF(J59="Sí","Multa aplicada",IF(J59="No","Sin multa",IF(H59="Sí","Descargo enviado","Pendiente"))))</f>
        <v/>
      </c>
    </row>
    <row r="60" customFormat="false" ht="15" hidden="false" customHeight="false" outlineLevel="0" collapsed="false">
      <c r="A60" s="6" t="str">
        <f aca="false">IF('Carga Vigilador'!A60="","",'Carga Vigilador'!A60)</f>
        <v/>
      </c>
      <c r="B60" s="11" t="str">
        <f aca="false">IF('Carga Vigilador'!B60="","",'Carga Vigilador'!B60)</f>
        <v/>
      </c>
      <c r="C60" s="12" t="str">
        <f aca="false">IF('Carga Vigilador'!C60="","",'Carga Vigilador'!C60)</f>
        <v/>
      </c>
      <c r="D60" s="13" t="str">
        <f aca="false">IF('Carga Vigilador'!D60="","",'Carga Vigilador'!D60)</f>
        <v/>
      </c>
      <c r="E60" s="6" t="str">
        <f aca="false">IF('Carga Vigilador'!E60="","",'Carga Vigilador'!E60)</f>
        <v/>
      </c>
      <c r="F60" s="13" t="str">
        <f aca="false">IF('Carga Vigilador'!F60="","",'Carga Vigilador'!F60)</f>
        <v/>
      </c>
      <c r="G60" s="13" t="str">
        <f aca="false">IF('Carga Vigilador'!G60="","",'Carga Vigilador'!G60)</f>
        <v/>
      </c>
      <c r="H60" s="14"/>
      <c r="I60" s="15"/>
      <c r="J60" s="14"/>
      <c r="K60" s="15"/>
      <c r="L60" s="16"/>
      <c r="M60" s="17"/>
      <c r="N60" s="18" t="str">
        <f aca="false">IF(B60="","",IF(J60="Sí","Multa aplicada",IF(J60="No","Sin multa",IF(H60="Sí","Descargo enviado","Pendiente"))))</f>
        <v/>
      </c>
    </row>
    <row r="61" customFormat="false" ht="15" hidden="false" customHeight="false" outlineLevel="0" collapsed="false">
      <c r="A61" s="6" t="str">
        <f aca="false">IF('Carga Vigilador'!A61="","",'Carga Vigilador'!A61)</f>
        <v/>
      </c>
      <c r="B61" s="11" t="str">
        <f aca="false">IF('Carga Vigilador'!B61="","",'Carga Vigilador'!B61)</f>
        <v/>
      </c>
      <c r="C61" s="12" t="str">
        <f aca="false">IF('Carga Vigilador'!C61="","",'Carga Vigilador'!C61)</f>
        <v/>
      </c>
      <c r="D61" s="13" t="str">
        <f aca="false">IF('Carga Vigilador'!D61="","",'Carga Vigilador'!D61)</f>
        <v/>
      </c>
      <c r="E61" s="6" t="str">
        <f aca="false">IF('Carga Vigilador'!E61="","",'Carga Vigilador'!E61)</f>
        <v/>
      </c>
      <c r="F61" s="13" t="str">
        <f aca="false">IF('Carga Vigilador'!F61="","",'Carga Vigilador'!F61)</f>
        <v/>
      </c>
      <c r="G61" s="13" t="str">
        <f aca="false">IF('Carga Vigilador'!G61="","",'Carga Vigilador'!G61)</f>
        <v/>
      </c>
      <c r="H61" s="14"/>
      <c r="I61" s="15"/>
      <c r="J61" s="14"/>
      <c r="K61" s="15"/>
      <c r="L61" s="16"/>
      <c r="M61" s="17"/>
      <c r="N61" s="18" t="str">
        <f aca="false">IF(B61="","",IF(J61="Sí","Multa aplicada",IF(J61="No","Sin multa",IF(H61="Sí","Descargo enviado","Pendiente"))))</f>
        <v/>
      </c>
    </row>
    <row r="62" customFormat="false" ht="15" hidden="false" customHeight="false" outlineLevel="0" collapsed="false">
      <c r="A62" s="6" t="str">
        <f aca="false">IF('Carga Vigilador'!A62="","",'Carga Vigilador'!A62)</f>
        <v/>
      </c>
      <c r="B62" s="11" t="str">
        <f aca="false">IF('Carga Vigilador'!B62="","",'Carga Vigilador'!B62)</f>
        <v/>
      </c>
      <c r="C62" s="12" t="str">
        <f aca="false">IF('Carga Vigilador'!C62="","",'Carga Vigilador'!C62)</f>
        <v/>
      </c>
      <c r="D62" s="13" t="str">
        <f aca="false">IF('Carga Vigilador'!D62="","",'Carga Vigilador'!D62)</f>
        <v/>
      </c>
      <c r="E62" s="6" t="str">
        <f aca="false">IF('Carga Vigilador'!E62="","",'Carga Vigilador'!E62)</f>
        <v/>
      </c>
      <c r="F62" s="13" t="str">
        <f aca="false">IF('Carga Vigilador'!F62="","",'Carga Vigilador'!F62)</f>
        <v/>
      </c>
      <c r="G62" s="13" t="str">
        <f aca="false">IF('Carga Vigilador'!G62="","",'Carga Vigilador'!G62)</f>
        <v/>
      </c>
      <c r="H62" s="14"/>
      <c r="I62" s="15"/>
      <c r="J62" s="14"/>
      <c r="K62" s="15"/>
      <c r="L62" s="16"/>
      <c r="M62" s="17"/>
      <c r="N62" s="18" t="str">
        <f aca="false">IF(B62="","",IF(J62="Sí","Multa aplicada",IF(J62="No","Sin multa",IF(H62="Sí","Descargo enviado","Pendiente"))))</f>
        <v/>
      </c>
    </row>
    <row r="63" customFormat="false" ht="15" hidden="false" customHeight="false" outlineLevel="0" collapsed="false">
      <c r="A63" s="6" t="str">
        <f aca="false">IF('Carga Vigilador'!A63="","",'Carga Vigilador'!A63)</f>
        <v/>
      </c>
      <c r="B63" s="11" t="str">
        <f aca="false">IF('Carga Vigilador'!B63="","",'Carga Vigilador'!B63)</f>
        <v/>
      </c>
      <c r="C63" s="12" t="str">
        <f aca="false">IF('Carga Vigilador'!C63="","",'Carga Vigilador'!C63)</f>
        <v/>
      </c>
      <c r="D63" s="13" t="str">
        <f aca="false">IF('Carga Vigilador'!D63="","",'Carga Vigilador'!D63)</f>
        <v/>
      </c>
      <c r="E63" s="6" t="str">
        <f aca="false">IF('Carga Vigilador'!E63="","",'Carga Vigilador'!E63)</f>
        <v/>
      </c>
      <c r="F63" s="13" t="str">
        <f aca="false">IF('Carga Vigilador'!F63="","",'Carga Vigilador'!F63)</f>
        <v/>
      </c>
      <c r="G63" s="13" t="str">
        <f aca="false">IF('Carga Vigilador'!G63="","",'Carga Vigilador'!G63)</f>
        <v/>
      </c>
      <c r="H63" s="14"/>
      <c r="I63" s="15"/>
      <c r="J63" s="14"/>
      <c r="K63" s="15"/>
      <c r="L63" s="16"/>
      <c r="M63" s="17"/>
      <c r="N63" s="18" t="str">
        <f aca="false">IF(B63="","",IF(J63="Sí","Multa aplicada",IF(J63="No","Sin multa",IF(H63="Sí","Descargo enviado","Pendiente"))))</f>
        <v/>
      </c>
    </row>
    <row r="64" customFormat="false" ht="15" hidden="false" customHeight="false" outlineLevel="0" collapsed="false">
      <c r="A64" s="6" t="str">
        <f aca="false">IF('Carga Vigilador'!A64="","",'Carga Vigilador'!A64)</f>
        <v/>
      </c>
      <c r="B64" s="11" t="str">
        <f aca="false">IF('Carga Vigilador'!B64="","",'Carga Vigilador'!B64)</f>
        <v/>
      </c>
      <c r="C64" s="12" t="str">
        <f aca="false">IF('Carga Vigilador'!C64="","",'Carga Vigilador'!C64)</f>
        <v/>
      </c>
      <c r="D64" s="13" t="str">
        <f aca="false">IF('Carga Vigilador'!D64="","",'Carga Vigilador'!D64)</f>
        <v/>
      </c>
      <c r="E64" s="6" t="str">
        <f aca="false">IF('Carga Vigilador'!E64="","",'Carga Vigilador'!E64)</f>
        <v/>
      </c>
      <c r="F64" s="13" t="str">
        <f aca="false">IF('Carga Vigilador'!F64="","",'Carga Vigilador'!F64)</f>
        <v/>
      </c>
      <c r="G64" s="13" t="str">
        <f aca="false">IF('Carga Vigilador'!G64="","",'Carga Vigilador'!G64)</f>
        <v/>
      </c>
      <c r="H64" s="14"/>
      <c r="I64" s="15"/>
      <c r="J64" s="14"/>
      <c r="K64" s="15"/>
      <c r="L64" s="16"/>
      <c r="M64" s="17"/>
      <c r="N64" s="18" t="str">
        <f aca="false">IF(B64="","",IF(J64="Sí","Multa aplicada",IF(J64="No","Sin multa",IF(H64="Sí","Descargo enviado","Pendiente"))))</f>
        <v/>
      </c>
    </row>
    <row r="65" customFormat="false" ht="15" hidden="false" customHeight="false" outlineLevel="0" collapsed="false">
      <c r="A65" s="6" t="str">
        <f aca="false">IF('Carga Vigilador'!A65="","",'Carga Vigilador'!A65)</f>
        <v/>
      </c>
      <c r="B65" s="11" t="str">
        <f aca="false">IF('Carga Vigilador'!B65="","",'Carga Vigilador'!B65)</f>
        <v/>
      </c>
      <c r="C65" s="12" t="str">
        <f aca="false">IF('Carga Vigilador'!C65="","",'Carga Vigilador'!C65)</f>
        <v/>
      </c>
      <c r="D65" s="13" t="str">
        <f aca="false">IF('Carga Vigilador'!D65="","",'Carga Vigilador'!D65)</f>
        <v/>
      </c>
      <c r="E65" s="6" t="str">
        <f aca="false">IF('Carga Vigilador'!E65="","",'Carga Vigilador'!E65)</f>
        <v/>
      </c>
      <c r="F65" s="13" t="str">
        <f aca="false">IF('Carga Vigilador'!F65="","",'Carga Vigilador'!F65)</f>
        <v/>
      </c>
      <c r="G65" s="13" t="str">
        <f aca="false">IF('Carga Vigilador'!G65="","",'Carga Vigilador'!G65)</f>
        <v/>
      </c>
      <c r="H65" s="14"/>
      <c r="I65" s="15"/>
      <c r="J65" s="14"/>
      <c r="K65" s="15"/>
      <c r="L65" s="16"/>
      <c r="M65" s="17"/>
      <c r="N65" s="18" t="str">
        <f aca="false">IF(B65="","",IF(J65="Sí","Multa aplicada",IF(J65="No","Sin multa",IF(H65="Sí","Descargo enviado","Pendiente"))))</f>
        <v/>
      </c>
    </row>
    <row r="66" customFormat="false" ht="15" hidden="false" customHeight="false" outlineLevel="0" collapsed="false">
      <c r="A66" s="6" t="str">
        <f aca="false">IF('Carga Vigilador'!A66="","",'Carga Vigilador'!A66)</f>
        <v/>
      </c>
      <c r="B66" s="11" t="str">
        <f aca="false">IF('Carga Vigilador'!B66="","",'Carga Vigilador'!B66)</f>
        <v/>
      </c>
      <c r="C66" s="12" t="str">
        <f aca="false">IF('Carga Vigilador'!C66="","",'Carga Vigilador'!C66)</f>
        <v/>
      </c>
      <c r="D66" s="13" t="str">
        <f aca="false">IF('Carga Vigilador'!D66="","",'Carga Vigilador'!D66)</f>
        <v/>
      </c>
      <c r="E66" s="6" t="str">
        <f aca="false">IF('Carga Vigilador'!E66="","",'Carga Vigilador'!E66)</f>
        <v/>
      </c>
      <c r="F66" s="13" t="str">
        <f aca="false">IF('Carga Vigilador'!F66="","",'Carga Vigilador'!F66)</f>
        <v/>
      </c>
      <c r="G66" s="13" t="str">
        <f aca="false">IF('Carga Vigilador'!G66="","",'Carga Vigilador'!G66)</f>
        <v/>
      </c>
      <c r="H66" s="14"/>
      <c r="I66" s="15"/>
      <c r="J66" s="14"/>
      <c r="K66" s="15"/>
      <c r="L66" s="16"/>
      <c r="M66" s="17"/>
      <c r="N66" s="18" t="str">
        <f aca="false">IF(B66="","",IF(J66="Sí","Multa aplicada",IF(J66="No","Sin multa",IF(H66="Sí","Descargo enviado","Pendiente"))))</f>
        <v/>
      </c>
    </row>
    <row r="67" customFormat="false" ht="15" hidden="false" customHeight="false" outlineLevel="0" collapsed="false">
      <c r="A67" s="6" t="str">
        <f aca="false">IF('Carga Vigilador'!A67="","",'Carga Vigilador'!A67)</f>
        <v/>
      </c>
      <c r="B67" s="11" t="str">
        <f aca="false">IF('Carga Vigilador'!B67="","",'Carga Vigilador'!B67)</f>
        <v/>
      </c>
      <c r="C67" s="12" t="str">
        <f aca="false">IF('Carga Vigilador'!C67="","",'Carga Vigilador'!C67)</f>
        <v/>
      </c>
      <c r="D67" s="13" t="str">
        <f aca="false">IF('Carga Vigilador'!D67="","",'Carga Vigilador'!D67)</f>
        <v/>
      </c>
      <c r="E67" s="6" t="str">
        <f aca="false">IF('Carga Vigilador'!E67="","",'Carga Vigilador'!E67)</f>
        <v/>
      </c>
      <c r="F67" s="13" t="str">
        <f aca="false">IF('Carga Vigilador'!F67="","",'Carga Vigilador'!F67)</f>
        <v/>
      </c>
      <c r="G67" s="13" t="str">
        <f aca="false">IF('Carga Vigilador'!G67="","",'Carga Vigilador'!G67)</f>
        <v/>
      </c>
      <c r="H67" s="14"/>
      <c r="I67" s="15"/>
      <c r="J67" s="14"/>
      <c r="K67" s="15"/>
      <c r="L67" s="16"/>
      <c r="M67" s="17"/>
      <c r="N67" s="18" t="str">
        <f aca="false">IF(B67="","",IF(J67="Sí","Multa aplicada",IF(J67="No","Sin multa",IF(H67="Sí","Descargo enviado","Pendiente"))))</f>
        <v/>
      </c>
    </row>
    <row r="68" customFormat="false" ht="15" hidden="false" customHeight="false" outlineLevel="0" collapsed="false">
      <c r="A68" s="6" t="str">
        <f aca="false">IF('Carga Vigilador'!A68="","",'Carga Vigilador'!A68)</f>
        <v/>
      </c>
      <c r="B68" s="11" t="str">
        <f aca="false">IF('Carga Vigilador'!B68="","",'Carga Vigilador'!B68)</f>
        <v/>
      </c>
      <c r="C68" s="12" t="str">
        <f aca="false">IF('Carga Vigilador'!C68="","",'Carga Vigilador'!C68)</f>
        <v/>
      </c>
      <c r="D68" s="13" t="str">
        <f aca="false">IF('Carga Vigilador'!D68="","",'Carga Vigilador'!D68)</f>
        <v/>
      </c>
      <c r="E68" s="6" t="str">
        <f aca="false">IF('Carga Vigilador'!E68="","",'Carga Vigilador'!E68)</f>
        <v/>
      </c>
      <c r="F68" s="13" t="str">
        <f aca="false">IF('Carga Vigilador'!F68="","",'Carga Vigilador'!F68)</f>
        <v/>
      </c>
      <c r="G68" s="13" t="str">
        <f aca="false">IF('Carga Vigilador'!G68="","",'Carga Vigilador'!G68)</f>
        <v/>
      </c>
      <c r="H68" s="14"/>
      <c r="I68" s="15"/>
      <c r="J68" s="14"/>
      <c r="K68" s="15"/>
      <c r="L68" s="16"/>
      <c r="M68" s="17"/>
      <c r="N68" s="18" t="str">
        <f aca="false">IF(B68="","",IF(J68="Sí","Multa aplicada",IF(J68="No","Sin multa",IF(H68="Sí","Descargo enviado","Pendiente"))))</f>
        <v/>
      </c>
    </row>
    <row r="69" customFormat="false" ht="15" hidden="false" customHeight="false" outlineLevel="0" collapsed="false">
      <c r="A69" s="6" t="str">
        <f aca="false">IF('Carga Vigilador'!A69="","",'Carga Vigilador'!A69)</f>
        <v/>
      </c>
      <c r="B69" s="11" t="str">
        <f aca="false">IF('Carga Vigilador'!B69="","",'Carga Vigilador'!B69)</f>
        <v/>
      </c>
      <c r="C69" s="12" t="str">
        <f aca="false">IF('Carga Vigilador'!C69="","",'Carga Vigilador'!C69)</f>
        <v/>
      </c>
      <c r="D69" s="13" t="str">
        <f aca="false">IF('Carga Vigilador'!D69="","",'Carga Vigilador'!D69)</f>
        <v/>
      </c>
      <c r="E69" s="6" t="str">
        <f aca="false">IF('Carga Vigilador'!E69="","",'Carga Vigilador'!E69)</f>
        <v/>
      </c>
      <c r="F69" s="13" t="str">
        <f aca="false">IF('Carga Vigilador'!F69="","",'Carga Vigilador'!F69)</f>
        <v/>
      </c>
      <c r="G69" s="13" t="str">
        <f aca="false">IF('Carga Vigilador'!G69="","",'Carga Vigilador'!G69)</f>
        <v/>
      </c>
      <c r="H69" s="14"/>
      <c r="I69" s="15"/>
      <c r="J69" s="14"/>
      <c r="K69" s="15"/>
      <c r="L69" s="16"/>
      <c r="M69" s="17"/>
      <c r="N69" s="18" t="str">
        <f aca="false">IF(B69="","",IF(J69="Sí","Multa aplicada",IF(J69="No","Sin multa",IF(H69="Sí","Descargo enviado","Pendiente"))))</f>
        <v/>
      </c>
    </row>
    <row r="70" customFormat="false" ht="15" hidden="false" customHeight="false" outlineLevel="0" collapsed="false">
      <c r="A70" s="6" t="str">
        <f aca="false">IF('Carga Vigilador'!A70="","",'Carga Vigilador'!A70)</f>
        <v/>
      </c>
      <c r="B70" s="11" t="str">
        <f aca="false">IF('Carga Vigilador'!B70="","",'Carga Vigilador'!B70)</f>
        <v/>
      </c>
      <c r="C70" s="12" t="str">
        <f aca="false">IF('Carga Vigilador'!C70="","",'Carga Vigilador'!C70)</f>
        <v/>
      </c>
      <c r="D70" s="13" t="str">
        <f aca="false">IF('Carga Vigilador'!D70="","",'Carga Vigilador'!D70)</f>
        <v/>
      </c>
      <c r="E70" s="6" t="str">
        <f aca="false">IF('Carga Vigilador'!E70="","",'Carga Vigilador'!E70)</f>
        <v/>
      </c>
      <c r="F70" s="13" t="str">
        <f aca="false">IF('Carga Vigilador'!F70="","",'Carga Vigilador'!F70)</f>
        <v/>
      </c>
      <c r="G70" s="13" t="str">
        <f aca="false">IF('Carga Vigilador'!G70="","",'Carga Vigilador'!G70)</f>
        <v/>
      </c>
      <c r="H70" s="14"/>
      <c r="I70" s="15"/>
      <c r="J70" s="14"/>
      <c r="K70" s="15"/>
      <c r="L70" s="16"/>
      <c r="M70" s="17"/>
      <c r="N70" s="18" t="str">
        <f aca="false">IF(B70="","",IF(J70="Sí","Multa aplicada",IF(J70="No","Sin multa",IF(H70="Sí","Descargo enviado","Pendiente"))))</f>
        <v/>
      </c>
    </row>
    <row r="71" customFormat="false" ht="15" hidden="false" customHeight="false" outlineLevel="0" collapsed="false">
      <c r="A71" s="6" t="str">
        <f aca="false">IF('Carga Vigilador'!A71="","",'Carga Vigilador'!A71)</f>
        <v/>
      </c>
      <c r="B71" s="11" t="str">
        <f aca="false">IF('Carga Vigilador'!B71="","",'Carga Vigilador'!B71)</f>
        <v/>
      </c>
      <c r="C71" s="12" t="str">
        <f aca="false">IF('Carga Vigilador'!C71="","",'Carga Vigilador'!C71)</f>
        <v/>
      </c>
      <c r="D71" s="13" t="str">
        <f aca="false">IF('Carga Vigilador'!D71="","",'Carga Vigilador'!D71)</f>
        <v/>
      </c>
      <c r="E71" s="6" t="str">
        <f aca="false">IF('Carga Vigilador'!E71="","",'Carga Vigilador'!E71)</f>
        <v/>
      </c>
      <c r="F71" s="13" t="str">
        <f aca="false">IF('Carga Vigilador'!F71="","",'Carga Vigilador'!F71)</f>
        <v/>
      </c>
      <c r="G71" s="13" t="str">
        <f aca="false">IF('Carga Vigilador'!G71="","",'Carga Vigilador'!G71)</f>
        <v/>
      </c>
      <c r="H71" s="14"/>
      <c r="I71" s="15"/>
      <c r="J71" s="14"/>
      <c r="K71" s="15"/>
      <c r="L71" s="16"/>
      <c r="M71" s="17"/>
      <c r="N71" s="18" t="str">
        <f aca="false">IF(B71="","",IF(J71="Sí","Multa aplicada",IF(J71="No","Sin multa",IF(H71="Sí","Descargo enviado","Pendiente"))))</f>
        <v/>
      </c>
    </row>
    <row r="72" customFormat="false" ht="15" hidden="false" customHeight="false" outlineLevel="0" collapsed="false">
      <c r="A72" s="6" t="str">
        <f aca="false">IF('Carga Vigilador'!A72="","",'Carga Vigilador'!A72)</f>
        <v/>
      </c>
      <c r="B72" s="11" t="str">
        <f aca="false">IF('Carga Vigilador'!B72="","",'Carga Vigilador'!B72)</f>
        <v/>
      </c>
      <c r="C72" s="12" t="str">
        <f aca="false">IF('Carga Vigilador'!C72="","",'Carga Vigilador'!C72)</f>
        <v/>
      </c>
      <c r="D72" s="13" t="str">
        <f aca="false">IF('Carga Vigilador'!D72="","",'Carga Vigilador'!D72)</f>
        <v/>
      </c>
      <c r="E72" s="6" t="str">
        <f aca="false">IF('Carga Vigilador'!E72="","",'Carga Vigilador'!E72)</f>
        <v/>
      </c>
      <c r="F72" s="13" t="str">
        <f aca="false">IF('Carga Vigilador'!F72="","",'Carga Vigilador'!F72)</f>
        <v/>
      </c>
      <c r="G72" s="13" t="str">
        <f aca="false">IF('Carga Vigilador'!G72="","",'Carga Vigilador'!G72)</f>
        <v/>
      </c>
      <c r="H72" s="14"/>
      <c r="I72" s="15"/>
      <c r="J72" s="14"/>
      <c r="K72" s="15"/>
      <c r="L72" s="16"/>
      <c r="M72" s="17"/>
      <c r="N72" s="18" t="str">
        <f aca="false">IF(B72="","",IF(J72="Sí","Multa aplicada",IF(J72="No","Sin multa",IF(H72="Sí","Descargo enviado","Pendiente"))))</f>
        <v/>
      </c>
    </row>
    <row r="73" customFormat="false" ht="15" hidden="false" customHeight="false" outlineLevel="0" collapsed="false">
      <c r="A73" s="6" t="str">
        <f aca="false">IF('Carga Vigilador'!A73="","",'Carga Vigilador'!A73)</f>
        <v/>
      </c>
      <c r="B73" s="11" t="str">
        <f aca="false">IF('Carga Vigilador'!B73="","",'Carga Vigilador'!B73)</f>
        <v/>
      </c>
      <c r="C73" s="12" t="str">
        <f aca="false">IF('Carga Vigilador'!C73="","",'Carga Vigilador'!C73)</f>
        <v/>
      </c>
      <c r="D73" s="13" t="str">
        <f aca="false">IF('Carga Vigilador'!D73="","",'Carga Vigilador'!D73)</f>
        <v/>
      </c>
      <c r="E73" s="6" t="str">
        <f aca="false">IF('Carga Vigilador'!E73="","",'Carga Vigilador'!E73)</f>
        <v/>
      </c>
      <c r="F73" s="13" t="str">
        <f aca="false">IF('Carga Vigilador'!F73="","",'Carga Vigilador'!F73)</f>
        <v/>
      </c>
      <c r="G73" s="13" t="str">
        <f aca="false">IF('Carga Vigilador'!G73="","",'Carga Vigilador'!G73)</f>
        <v/>
      </c>
      <c r="H73" s="14"/>
      <c r="I73" s="15"/>
      <c r="J73" s="14"/>
      <c r="K73" s="15"/>
      <c r="L73" s="16"/>
      <c r="M73" s="17"/>
      <c r="N73" s="18" t="str">
        <f aca="false">IF(B73="","",IF(J73="Sí","Multa aplicada",IF(J73="No","Sin multa",IF(H73="Sí","Descargo enviado","Pendiente"))))</f>
        <v/>
      </c>
    </row>
    <row r="74" customFormat="false" ht="15" hidden="false" customHeight="false" outlineLevel="0" collapsed="false">
      <c r="A74" s="6" t="str">
        <f aca="false">IF('Carga Vigilador'!A74="","",'Carga Vigilador'!A74)</f>
        <v/>
      </c>
      <c r="B74" s="11" t="str">
        <f aca="false">IF('Carga Vigilador'!B74="","",'Carga Vigilador'!B74)</f>
        <v/>
      </c>
      <c r="C74" s="12" t="str">
        <f aca="false">IF('Carga Vigilador'!C74="","",'Carga Vigilador'!C74)</f>
        <v/>
      </c>
      <c r="D74" s="13" t="str">
        <f aca="false">IF('Carga Vigilador'!D74="","",'Carga Vigilador'!D74)</f>
        <v/>
      </c>
      <c r="E74" s="6" t="str">
        <f aca="false">IF('Carga Vigilador'!E74="","",'Carga Vigilador'!E74)</f>
        <v/>
      </c>
      <c r="F74" s="13" t="str">
        <f aca="false">IF('Carga Vigilador'!F74="","",'Carga Vigilador'!F74)</f>
        <v/>
      </c>
      <c r="G74" s="13" t="str">
        <f aca="false">IF('Carga Vigilador'!G74="","",'Carga Vigilador'!G74)</f>
        <v/>
      </c>
      <c r="H74" s="14"/>
      <c r="I74" s="15"/>
      <c r="J74" s="14"/>
      <c r="K74" s="15"/>
      <c r="L74" s="16"/>
      <c r="M74" s="17"/>
      <c r="N74" s="18" t="str">
        <f aca="false">IF(B74="","",IF(J74="Sí","Multa aplicada",IF(J74="No","Sin multa",IF(H74="Sí","Descargo enviado","Pendiente"))))</f>
        <v/>
      </c>
    </row>
    <row r="75" customFormat="false" ht="15" hidden="false" customHeight="false" outlineLevel="0" collapsed="false">
      <c r="A75" s="6" t="str">
        <f aca="false">IF('Carga Vigilador'!A75="","",'Carga Vigilador'!A75)</f>
        <v/>
      </c>
      <c r="B75" s="11" t="str">
        <f aca="false">IF('Carga Vigilador'!B75="","",'Carga Vigilador'!B75)</f>
        <v/>
      </c>
      <c r="C75" s="12" t="str">
        <f aca="false">IF('Carga Vigilador'!C75="","",'Carga Vigilador'!C75)</f>
        <v/>
      </c>
      <c r="D75" s="13" t="str">
        <f aca="false">IF('Carga Vigilador'!D75="","",'Carga Vigilador'!D75)</f>
        <v/>
      </c>
      <c r="E75" s="6" t="str">
        <f aca="false">IF('Carga Vigilador'!E75="","",'Carga Vigilador'!E75)</f>
        <v/>
      </c>
      <c r="F75" s="13" t="str">
        <f aca="false">IF('Carga Vigilador'!F75="","",'Carga Vigilador'!F75)</f>
        <v/>
      </c>
      <c r="G75" s="13" t="str">
        <f aca="false">IF('Carga Vigilador'!G75="","",'Carga Vigilador'!G75)</f>
        <v/>
      </c>
      <c r="H75" s="14"/>
      <c r="I75" s="15"/>
      <c r="J75" s="14"/>
      <c r="K75" s="15"/>
      <c r="L75" s="16"/>
      <c r="M75" s="17"/>
      <c r="N75" s="18" t="str">
        <f aca="false">IF(B75="","",IF(J75="Sí","Multa aplicada",IF(J75="No","Sin multa",IF(H75="Sí","Descargo enviado","Pendiente"))))</f>
        <v/>
      </c>
    </row>
    <row r="76" customFormat="false" ht="15" hidden="false" customHeight="false" outlineLevel="0" collapsed="false">
      <c r="A76" s="6" t="str">
        <f aca="false">IF('Carga Vigilador'!A76="","",'Carga Vigilador'!A76)</f>
        <v/>
      </c>
      <c r="B76" s="11" t="str">
        <f aca="false">IF('Carga Vigilador'!B76="","",'Carga Vigilador'!B76)</f>
        <v/>
      </c>
      <c r="C76" s="12" t="str">
        <f aca="false">IF('Carga Vigilador'!C76="","",'Carga Vigilador'!C76)</f>
        <v/>
      </c>
      <c r="D76" s="13" t="str">
        <f aca="false">IF('Carga Vigilador'!D76="","",'Carga Vigilador'!D76)</f>
        <v/>
      </c>
      <c r="E76" s="6" t="str">
        <f aca="false">IF('Carga Vigilador'!E76="","",'Carga Vigilador'!E76)</f>
        <v/>
      </c>
      <c r="F76" s="13" t="str">
        <f aca="false">IF('Carga Vigilador'!F76="","",'Carga Vigilador'!F76)</f>
        <v/>
      </c>
      <c r="G76" s="13" t="str">
        <f aca="false">IF('Carga Vigilador'!G76="","",'Carga Vigilador'!G76)</f>
        <v/>
      </c>
      <c r="H76" s="14"/>
      <c r="I76" s="15"/>
      <c r="J76" s="14"/>
      <c r="K76" s="15"/>
      <c r="L76" s="16"/>
      <c r="M76" s="17"/>
      <c r="N76" s="18" t="str">
        <f aca="false">IF(B76="","",IF(J76="Sí","Multa aplicada",IF(J76="No","Sin multa",IF(H76="Sí","Descargo enviado","Pendiente"))))</f>
        <v/>
      </c>
    </row>
    <row r="77" customFormat="false" ht="15" hidden="false" customHeight="false" outlineLevel="0" collapsed="false">
      <c r="A77" s="6" t="str">
        <f aca="false">IF('Carga Vigilador'!A77="","",'Carga Vigilador'!A77)</f>
        <v/>
      </c>
      <c r="B77" s="11" t="str">
        <f aca="false">IF('Carga Vigilador'!B77="","",'Carga Vigilador'!B77)</f>
        <v/>
      </c>
      <c r="C77" s="12" t="str">
        <f aca="false">IF('Carga Vigilador'!C77="","",'Carga Vigilador'!C77)</f>
        <v/>
      </c>
      <c r="D77" s="13" t="str">
        <f aca="false">IF('Carga Vigilador'!D77="","",'Carga Vigilador'!D77)</f>
        <v/>
      </c>
      <c r="E77" s="6" t="str">
        <f aca="false">IF('Carga Vigilador'!E77="","",'Carga Vigilador'!E77)</f>
        <v/>
      </c>
      <c r="F77" s="13" t="str">
        <f aca="false">IF('Carga Vigilador'!F77="","",'Carga Vigilador'!F77)</f>
        <v/>
      </c>
      <c r="G77" s="13" t="str">
        <f aca="false">IF('Carga Vigilador'!G77="","",'Carga Vigilador'!G77)</f>
        <v/>
      </c>
      <c r="H77" s="14"/>
      <c r="I77" s="15"/>
      <c r="J77" s="14"/>
      <c r="K77" s="15"/>
      <c r="L77" s="16"/>
      <c r="M77" s="17"/>
      <c r="N77" s="18" t="str">
        <f aca="false">IF(B77="","",IF(J77="Sí","Multa aplicada",IF(J77="No","Sin multa",IF(H77="Sí","Descargo enviado","Pendiente"))))</f>
        <v/>
      </c>
    </row>
    <row r="78" customFormat="false" ht="15" hidden="false" customHeight="false" outlineLevel="0" collapsed="false">
      <c r="A78" s="6" t="str">
        <f aca="false">IF('Carga Vigilador'!A78="","",'Carga Vigilador'!A78)</f>
        <v/>
      </c>
      <c r="B78" s="11" t="str">
        <f aca="false">IF('Carga Vigilador'!B78="","",'Carga Vigilador'!B78)</f>
        <v/>
      </c>
      <c r="C78" s="12" t="str">
        <f aca="false">IF('Carga Vigilador'!C78="","",'Carga Vigilador'!C78)</f>
        <v/>
      </c>
      <c r="D78" s="13" t="str">
        <f aca="false">IF('Carga Vigilador'!D78="","",'Carga Vigilador'!D78)</f>
        <v/>
      </c>
      <c r="E78" s="6" t="str">
        <f aca="false">IF('Carga Vigilador'!E78="","",'Carga Vigilador'!E78)</f>
        <v/>
      </c>
      <c r="F78" s="13" t="str">
        <f aca="false">IF('Carga Vigilador'!F78="","",'Carga Vigilador'!F78)</f>
        <v/>
      </c>
      <c r="G78" s="13" t="str">
        <f aca="false">IF('Carga Vigilador'!G78="","",'Carga Vigilador'!G78)</f>
        <v/>
      </c>
      <c r="H78" s="14"/>
      <c r="I78" s="15"/>
      <c r="J78" s="14"/>
      <c r="K78" s="15"/>
      <c r="L78" s="16"/>
      <c r="M78" s="17"/>
      <c r="N78" s="18" t="str">
        <f aca="false">IF(B78="","",IF(J78="Sí","Multa aplicada",IF(J78="No","Sin multa",IF(H78="Sí","Descargo enviado","Pendiente"))))</f>
        <v/>
      </c>
    </row>
    <row r="79" customFormat="false" ht="15" hidden="false" customHeight="false" outlineLevel="0" collapsed="false">
      <c r="A79" s="6" t="str">
        <f aca="false">IF('Carga Vigilador'!A79="","",'Carga Vigilador'!A79)</f>
        <v/>
      </c>
      <c r="B79" s="11" t="str">
        <f aca="false">IF('Carga Vigilador'!B79="","",'Carga Vigilador'!B79)</f>
        <v/>
      </c>
      <c r="C79" s="12" t="str">
        <f aca="false">IF('Carga Vigilador'!C79="","",'Carga Vigilador'!C79)</f>
        <v/>
      </c>
      <c r="D79" s="13" t="str">
        <f aca="false">IF('Carga Vigilador'!D79="","",'Carga Vigilador'!D79)</f>
        <v/>
      </c>
      <c r="E79" s="6" t="str">
        <f aca="false">IF('Carga Vigilador'!E79="","",'Carga Vigilador'!E79)</f>
        <v/>
      </c>
      <c r="F79" s="13" t="str">
        <f aca="false">IF('Carga Vigilador'!F79="","",'Carga Vigilador'!F79)</f>
        <v/>
      </c>
      <c r="G79" s="13" t="str">
        <f aca="false">IF('Carga Vigilador'!G79="","",'Carga Vigilador'!G79)</f>
        <v/>
      </c>
      <c r="H79" s="14"/>
      <c r="I79" s="15"/>
      <c r="J79" s="14"/>
      <c r="K79" s="15"/>
      <c r="L79" s="16"/>
      <c r="M79" s="17"/>
      <c r="N79" s="18" t="str">
        <f aca="false">IF(B79="","",IF(J79="Sí","Multa aplicada",IF(J79="No","Sin multa",IF(H79="Sí","Descargo enviado","Pendiente"))))</f>
        <v/>
      </c>
    </row>
    <row r="80" customFormat="false" ht="15" hidden="false" customHeight="false" outlineLevel="0" collapsed="false">
      <c r="A80" s="6" t="str">
        <f aca="false">IF('Carga Vigilador'!A80="","",'Carga Vigilador'!A80)</f>
        <v/>
      </c>
      <c r="B80" s="11" t="str">
        <f aca="false">IF('Carga Vigilador'!B80="","",'Carga Vigilador'!B80)</f>
        <v/>
      </c>
      <c r="C80" s="12" t="str">
        <f aca="false">IF('Carga Vigilador'!C80="","",'Carga Vigilador'!C80)</f>
        <v/>
      </c>
      <c r="D80" s="13" t="str">
        <f aca="false">IF('Carga Vigilador'!D80="","",'Carga Vigilador'!D80)</f>
        <v/>
      </c>
      <c r="E80" s="6" t="str">
        <f aca="false">IF('Carga Vigilador'!E80="","",'Carga Vigilador'!E80)</f>
        <v/>
      </c>
      <c r="F80" s="13" t="str">
        <f aca="false">IF('Carga Vigilador'!F80="","",'Carga Vigilador'!F80)</f>
        <v/>
      </c>
      <c r="G80" s="13" t="str">
        <f aca="false">IF('Carga Vigilador'!G80="","",'Carga Vigilador'!G80)</f>
        <v/>
      </c>
      <c r="H80" s="14"/>
      <c r="I80" s="15"/>
      <c r="J80" s="14"/>
      <c r="K80" s="15"/>
      <c r="L80" s="16"/>
      <c r="M80" s="17"/>
      <c r="N80" s="18" t="str">
        <f aca="false">IF(B80="","",IF(J80="Sí","Multa aplicada",IF(J80="No","Sin multa",IF(H80="Sí","Descargo enviado","Pendiente"))))</f>
        <v/>
      </c>
    </row>
    <row r="81" customFormat="false" ht="15" hidden="false" customHeight="false" outlineLevel="0" collapsed="false">
      <c r="A81" s="6" t="str">
        <f aca="false">IF('Carga Vigilador'!A81="","",'Carga Vigilador'!A81)</f>
        <v/>
      </c>
      <c r="B81" s="11" t="str">
        <f aca="false">IF('Carga Vigilador'!B81="","",'Carga Vigilador'!B81)</f>
        <v/>
      </c>
      <c r="C81" s="12" t="str">
        <f aca="false">IF('Carga Vigilador'!C81="","",'Carga Vigilador'!C81)</f>
        <v/>
      </c>
      <c r="D81" s="13" t="str">
        <f aca="false">IF('Carga Vigilador'!D81="","",'Carga Vigilador'!D81)</f>
        <v/>
      </c>
      <c r="E81" s="6" t="str">
        <f aca="false">IF('Carga Vigilador'!E81="","",'Carga Vigilador'!E81)</f>
        <v/>
      </c>
      <c r="F81" s="13" t="str">
        <f aca="false">IF('Carga Vigilador'!F81="","",'Carga Vigilador'!F81)</f>
        <v/>
      </c>
      <c r="G81" s="13" t="str">
        <f aca="false">IF('Carga Vigilador'!G81="","",'Carga Vigilador'!G81)</f>
        <v/>
      </c>
      <c r="H81" s="14"/>
      <c r="I81" s="15"/>
      <c r="J81" s="14"/>
      <c r="K81" s="15"/>
      <c r="L81" s="16"/>
      <c r="M81" s="17"/>
      <c r="N81" s="18" t="str">
        <f aca="false">IF(B81="","",IF(J81="Sí","Multa aplicada",IF(J81="No","Sin multa",IF(H81="Sí","Descargo enviado","Pendiente"))))</f>
        <v/>
      </c>
    </row>
    <row r="82" customFormat="false" ht="15" hidden="false" customHeight="false" outlineLevel="0" collapsed="false">
      <c r="A82" s="6" t="str">
        <f aca="false">IF('Carga Vigilador'!A82="","",'Carga Vigilador'!A82)</f>
        <v/>
      </c>
      <c r="B82" s="11" t="str">
        <f aca="false">IF('Carga Vigilador'!B82="","",'Carga Vigilador'!B82)</f>
        <v/>
      </c>
      <c r="C82" s="12" t="str">
        <f aca="false">IF('Carga Vigilador'!C82="","",'Carga Vigilador'!C82)</f>
        <v/>
      </c>
      <c r="D82" s="13" t="str">
        <f aca="false">IF('Carga Vigilador'!D82="","",'Carga Vigilador'!D82)</f>
        <v/>
      </c>
      <c r="E82" s="6" t="str">
        <f aca="false">IF('Carga Vigilador'!E82="","",'Carga Vigilador'!E82)</f>
        <v/>
      </c>
      <c r="F82" s="13" t="str">
        <f aca="false">IF('Carga Vigilador'!F82="","",'Carga Vigilador'!F82)</f>
        <v/>
      </c>
      <c r="G82" s="13" t="str">
        <f aca="false">IF('Carga Vigilador'!G82="","",'Carga Vigilador'!G82)</f>
        <v/>
      </c>
      <c r="H82" s="14"/>
      <c r="I82" s="15"/>
      <c r="J82" s="14"/>
      <c r="K82" s="15"/>
      <c r="L82" s="16"/>
      <c r="M82" s="17"/>
      <c r="N82" s="18" t="str">
        <f aca="false">IF(B82="","",IF(J82="Sí","Multa aplicada",IF(J82="No","Sin multa",IF(H82="Sí","Descargo enviado","Pendiente"))))</f>
        <v/>
      </c>
    </row>
    <row r="83" customFormat="false" ht="15" hidden="false" customHeight="false" outlineLevel="0" collapsed="false">
      <c r="A83" s="6" t="str">
        <f aca="false">IF('Carga Vigilador'!A83="","",'Carga Vigilador'!A83)</f>
        <v/>
      </c>
      <c r="B83" s="11" t="str">
        <f aca="false">IF('Carga Vigilador'!B83="","",'Carga Vigilador'!B83)</f>
        <v/>
      </c>
      <c r="C83" s="12" t="str">
        <f aca="false">IF('Carga Vigilador'!C83="","",'Carga Vigilador'!C83)</f>
        <v/>
      </c>
      <c r="D83" s="13" t="str">
        <f aca="false">IF('Carga Vigilador'!D83="","",'Carga Vigilador'!D83)</f>
        <v/>
      </c>
      <c r="E83" s="6" t="str">
        <f aca="false">IF('Carga Vigilador'!E83="","",'Carga Vigilador'!E83)</f>
        <v/>
      </c>
      <c r="F83" s="13" t="str">
        <f aca="false">IF('Carga Vigilador'!F83="","",'Carga Vigilador'!F83)</f>
        <v/>
      </c>
      <c r="G83" s="13" t="str">
        <f aca="false">IF('Carga Vigilador'!G83="","",'Carga Vigilador'!G83)</f>
        <v/>
      </c>
      <c r="H83" s="14"/>
      <c r="I83" s="15"/>
      <c r="J83" s="14"/>
      <c r="K83" s="15"/>
      <c r="L83" s="16"/>
      <c r="M83" s="17"/>
      <c r="N83" s="18" t="str">
        <f aca="false">IF(B83="","",IF(J83="Sí","Multa aplicada",IF(J83="No","Sin multa",IF(H83="Sí","Descargo enviado","Pendiente"))))</f>
        <v/>
      </c>
    </row>
    <row r="84" customFormat="false" ht="15" hidden="false" customHeight="false" outlineLevel="0" collapsed="false">
      <c r="A84" s="6" t="str">
        <f aca="false">IF('Carga Vigilador'!A84="","",'Carga Vigilador'!A84)</f>
        <v/>
      </c>
      <c r="B84" s="11" t="str">
        <f aca="false">IF('Carga Vigilador'!B84="","",'Carga Vigilador'!B84)</f>
        <v/>
      </c>
      <c r="C84" s="12" t="str">
        <f aca="false">IF('Carga Vigilador'!C84="","",'Carga Vigilador'!C84)</f>
        <v/>
      </c>
      <c r="D84" s="13" t="str">
        <f aca="false">IF('Carga Vigilador'!D84="","",'Carga Vigilador'!D84)</f>
        <v/>
      </c>
      <c r="E84" s="6" t="str">
        <f aca="false">IF('Carga Vigilador'!E84="","",'Carga Vigilador'!E84)</f>
        <v/>
      </c>
      <c r="F84" s="13" t="str">
        <f aca="false">IF('Carga Vigilador'!F84="","",'Carga Vigilador'!F84)</f>
        <v/>
      </c>
      <c r="G84" s="13" t="str">
        <f aca="false">IF('Carga Vigilador'!G84="","",'Carga Vigilador'!G84)</f>
        <v/>
      </c>
      <c r="H84" s="14"/>
      <c r="I84" s="15"/>
      <c r="J84" s="14"/>
      <c r="K84" s="15"/>
      <c r="L84" s="16"/>
      <c r="M84" s="17"/>
      <c r="N84" s="18" t="str">
        <f aca="false">IF(B84="","",IF(J84="Sí","Multa aplicada",IF(J84="No","Sin multa",IF(H84="Sí","Descargo enviado","Pendiente"))))</f>
        <v/>
      </c>
    </row>
    <row r="85" customFormat="false" ht="15" hidden="false" customHeight="false" outlineLevel="0" collapsed="false">
      <c r="A85" s="6" t="str">
        <f aca="false">IF('Carga Vigilador'!A85="","",'Carga Vigilador'!A85)</f>
        <v/>
      </c>
      <c r="B85" s="11" t="str">
        <f aca="false">IF('Carga Vigilador'!B85="","",'Carga Vigilador'!B85)</f>
        <v/>
      </c>
      <c r="C85" s="12" t="str">
        <f aca="false">IF('Carga Vigilador'!C85="","",'Carga Vigilador'!C85)</f>
        <v/>
      </c>
      <c r="D85" s="13" t="str">
        <f aca="false">IF('Carga Vigilador'!D85="","",'Carga Vigilador'!D85)</f>
        <v/>
      </c>
      <c r="E85" s="6" t="str">
        <f aca="false">IF('Carga Vigilador'!E85="","",'Carga Vigilador'!E85)</f>
        <v/>
      </c>
      <c r="F85" s="13" t="str">
        <f aca="false">IF('Carga Vigilador'!F85="","",'Carga Vigilador'!F85)</f>
        <v/>
      </c>
      <c r="G85" s="13" t="str">
        <f aca="false">IF('Carga Vigilador'!G85="","",'Carga Vigilador'!G85)</f>
        <v/>
      </c>
      <c r="H85" s="14"/>
      <c r="I85" s="15"/>
      <c r="J85" s="14"/>
      <c r="K85" s="15"/>
      <c r="L85" s="16"/>
      <c r="M85" s="17"/>
      <c r="N85" s="18" t="str">
        <f aca="false">IF(B85="","",IF(J85="Sí","Multa aplicada",IF(J85="No","Sin multa",IF(H85="Sí","Descargo enviado","Pendiente"))))</f>
        <v/>
      </c>
    </row>
    <row r="86" customFormat="false" ht="15" hidden="false" customHeight="false" outlineLevel="0" collapsed="false">
      <c r="A86" s="6" t="str">
        <f aca="false">IF('Carga Vigilador'!A86="","",'Carga Vigilador'!A86)</f>
        <v/>
      </c>
      <c r="B86" s="11" t="str">
        <f aca="false">IF('Carga Vigilador'!B86="","",'Carga Vigilador'!B86)</f>
        <v/>
      </c>
      <c r="C86" s="12" t="str">
        <f aca="false">IF('Carga Vigilador'!C86="","",'Carga Vigilador'!C86)</f>
        <v/>
      </c>
      <c r="D86" s="13" t="str">
        <f aca="false">IF('Carga Vigilador'!D86="","",'Carga Vigilador'!D86)</f>
        <v/>
      </c>
      <c r="E86" s="6" t="str">
        <f aca="false">IF('Carga Vigilador'!E86="","",'Carga Vigilador'!E86)</f>
        <v/>
      </c>
      <c r="F86" s="13" t="str">
        <f aca="false">IF('Carga Vigilador'!F86="","",'Carga Vigilador'!F86)</f>
        <v/>
      </c>
      <c r="G86" s="13" t="str">
        <f aca="false">IF('Carga Vigilador'!G86="","",'Carga Vigilador'!G86)</f>
        <v/>
      </c>
      <c r="H86" s="14"/>
      <c r="I86" s="15"/>
      <c r="J86" s="14"/>
      <c r="K86" s="15"/>
      <c r="L86" s="16"/>
      <c r="M86" s="17"/>
      <c r="N86" s="18" t="str">
        <f aca="false">IF(B86="","",IF(J86="Sí","Multa aplicada",IF(J86="No","Sin multa",IF(H86="Sí","Descargo enviado","Pendiente"))))</f>
        <v/>
      </c>
    </row>
    <row r="87" customFormat="false" ht="15" hidden="false" customHeight="false" outlineLevel="0" collapsed="false">
      <c r="A87" s="6" t="str">
        <f aca="false">IF('Carga Vigilador'!A87="","",'Carga Vigilador'!A87)</f>
        <v/>
      </c>
      <c r="B87" s="11" t="str">
        <f aca="false">IF('Carga Vigilador'!B87="","",'Carga Vigilador'!B87)</f>
        <v/>
      </c>
      <c r="C87" s="12" t="str">
        <f aca="false">IF('Carga Vigilador'!C87="","",'Carga Vigilador'!C87)</f>
        <v/>
      </c>
      <c r="D87" s="13" t="str">
        <f aca="false">IF('Carga Vigilador'!D87="","",'Carga Vigilador'!D87)</f>
        <v/>
      </c>
      <c r="E87" s="6" t="str">
        <f aca="false">IF('Carga Vigilador'!E87="","",'Carga Vigilador'!E87)</f>
        <v/>
      </c>
      <c r="F87" s="13" t="str">
        <f aca="false">IF('Carga Vigilador'!F87="","",'Carga Vigilador'!F87)</f>
        <v/>
      </c>
      <c r="G87" s="13" t="str">
        <f aca="false">IF('Carga Vigilador'!G87="","",'Carga Vigilador'!G87)</f>
        <v/>
      </c>
      <c r="H87" s="14"/>
      <c r="I87" s="15"/>
      <c r="J87" s="14"/>
      <c r="K87" s="15"/>
      <c r="L87" s="16"/>
      <c r="M87" s="17"/>
      <c r="N87" s="18" t="str">
        <f aca="false">IF(B87="","",IF(J87="Sí","Multa aplicada",IF(J87="No","Sin multa",IF(H87="Sí","Descargo enviado","Pendiente"))))</f>
        <v/>
      </c>
    </row>
    <row r="88" customFormat="false" ht="15" hidden="false" customHeight="false" outlineLevel="0" collapsed="false">
      <c r="A88" s="6" t="str">
        <f aca="false">IF('Carga Vigilador'!A88="","",'Carga Vigilador'!A88)</f>
        <v/>
      </c>
      <c r="B88" s="11" t="str">
        <f aca="false">IF('Carga Vigilador'!B88="","",'Carga Vigilador'!B88)</f>
        <v/>
      </c>
      <c r="C88" s="12" t="str">
        <f aca="false">IF('Carga Vigilador'!C88="","",'Carga Vigilador'!C88)</f>
        <v/>
      </c>
      <c r="D88" s="13" t="str">
        <f aca="false">IF('Carga Vigilador'!D88="","",'Carga Vigilador'!D88)</f>
        <v/>
      </c>
      <c r="E88" s="6" t="str">
        <f aca="false">IF('Carga Vigilador'!E88="","",'Carga Vigilador'!E88)</f>
        <v/>
      </c>
      <c r="F88" s="13" t="str">
        <f aca="false">IF('Carga Vigilador'!F88="","",'Carga Vigilador'!F88)</f>
        <v/>
      </c>
      <c r="G88" s="13" t="str">
        <f aca="false">IF('Carga Vigilador'!G88="","",'Carga Vigilador'!G88)</f>
        <v/>
      </c>
      <c r="H88" s="14"/>
      <c r="I88" s="15"/>
      <c r="J88" s="14"/>
      <c r="K88" s="15"/>
      <c r="L88" s="16"/>
      <c r="M88" s="17"/>
      <c r="N88" s="18" t="str">
        <f aca="false">IF(B88="","",IF(J88="Sí","Multa aplicada",IF(J88="No","Sin multa",IF(H88="Sí","Descargo enviado","Pendiente"))))</f>
        <v/>
      </c>
    </row>
    <row r="89" customFormat="false" ht="15" hidden="false" customHeight="false" outlineLevel="0" collapsed="false">
      <c r="A89" s="6" t="str">
        <f aca="false">IF('Carga Vigilador'!A89="","",'Carga Vigilador'!A89)</f>
        <v/>
      </c>
      <c r="B89" s="11" t="str">
        <f aca="false">IF('Carga Vigilador'!B89="","",'Carga Vigilador'!B89)</f>
        <v/>
      </c>
      <c r="C89" s="12" t="str">
        <f aca="false">IF('Carga Vigilador'!C89="","",'Carga Vigilador'!C89)</f>
        <v/>
      </c>
      <c r="D89" s="13" t="str">
        <f aca="false">IF('Carga Vigilador'!D89="","",'Carga Vigilador'!D89)</f>
        <v/>
      </c>
      <c r="E89" s="6" t="str">
        <f aca="false">IF('Carga Vigilador'!E89="","",'Carga Vigilador'!E89)</f>
        <v/>
      </c>
      <c r="F89" s="13" t="str">
        <f aca="false">IF('Carga Vigilador'!F89="","",'Carga Vigilador'!F89)</f>
        <v/>
      </c>
      <c r="G89" s="13" t="str">
        <f aca="false">IF('Carga Vigilador'!G89="","",'Carga Vigilador'!G89)</f>
        <v/>
      </c>
      <c r="H89" s="14"/>
      <c r="I89" s="15"/>
      <c r="J89" s="14"/>
      <c r="K89" s="15"/>
      <c r="L89" s="16"/>
      <c r="M89" s="17"/>
      <c r="N89" s="18" t="str">
        <f aca="false">IF(B89="","",IF(J89="Sí","Multa aplicada",IF(J89="No","Sin multa",IF(H89="Sí","Descargo enviado","Pendiente"))))</f>
        <v/>
      </c>
    </row>
    <row r="90" customFormat="false" ht="15" hidden="false" customHeight="false" outlineLevel="0" collapsed="false">
      <c r="A90" s="6" t="str">
        <f aca="false">IF('Carga Vigilador'!A90="","",'Carga Vigilador'!A90)</f>
        <v/>
      </c>
      <c r="B90" s="11" t="str">
        <f aca="false">IF('Carga Vigilador'!B90="","",'Carga Vigilador'!B90)</f>
        <v/>
      </c>
      <c r="C90" s="12" t="str">
        <f aca="false">IF('Carga Vigilador'!C90="","",'Carga Vigilador'!C90)</f>
        <v/>
      </c>
      <c r="D90" s="13" t="str">
        <f aca="false">IF('Carga Vigilador'!D90="","",'Carga Vigilador'!D90)</f>
        <v/>
      </c>
      <c r="E90" s="6" t="str">
        <f aca="false">IF('Carga Vigilador'!E90="","",'Carga Vigilador'!E90)</f>
        <v/>
      </c>
      <c r="F90" s="13" t="str">
        <f aca="false">IF('Carga Vigilador'!F90="","",'Carga Vigilador'!F90)</f>
        <v/>
      </c>
      <c r="G90" s="13" t="str">
        <f aca="false">IF('Carga Vigilador'!G90="","",'Carga Vigilador'!G90)</f>
        <v/>
      </c>
      <c r="H90" s="14"/>
      <c r="I90" s="15"/>
      <c r="J90" s="14"/>
      <c r="K90" s="15"/>
      <c r="L90" s="16"/>
      <c r="M90" s="17"/>
      <c r="N90" s="18" t="str">
        <f aca="false">IF(B90="","",IF(J90="Sí","Multa aplicada",IF(J90="No","Sin multa",IF(H90="Sí","Descargo enviado","Pendiente"))))</f>
        <v/>
      </c>
    </row>
    <row r="91" customFormat="false" ht="15" hidden="false" customHeight="false" outlineLevel="0" collapsed="false">
      <c r="A91" s="6" t="str">
        <f aca="false">IF('Carga Vigilador'!A91="","",'Carga Vigilador'!A91)</f>
        <v/>
      </c>
      <c r="B91" s="11" t="str">
        <f aca="false">IF('Carga Vigilador'!B91="","",'Carga Vigilador'!B91)</f>
        <v/>
      </c>
      <c r="C91" s="12" t="str">
        <f aca="false">IF('Carga Vigilador'!C91="","",'Carga Vigilador'!C91)</f>
        <v/>
      </c>
      <c r="D91" s="13" t="str">
        <f aca="false">IF('Carga Vigilador'!D91="","",'Carga Vigilador'!D91)</f>
        <v/>
      </c>
      <c r="E91" s="6" t="str">
        <f aca="false">IF('Carga Vigilador'!E91="","",'Carga Vigilador'!E91)</f>
        <v/>
      </c>
      <c r="F91" s="13" t="str">
        <f aca="false">IF('Carga Vigilador'!F91="","",'Carga Vigilador'!F91)</f>
        <v/>
      </c>
      <c r="G91" s="13" t="str">
        <f aca="false">IF('Carga Vigilador'!G91="","",'Carga Vigilador'!G91)</f>
        <v/>
      </c>
      <c r="H91" s="14"/>
      <c r="I91" s="15"/>
      <c r="J91" s="14"/>
      <c r="K91" s="15"/>
      <c r="L91" s="16"/>
      <c r="M91" s="17"/>
      <c r="N91" s="18" t="str">
        <f aca="false">IF(B91="","",IF(J91="Sí","Multa aplicada",IF(J91="No","Sin multa",IF(H91="Sí","Descargo enviado","Pendiente"))))</f>
        <v/>
      </c>
    </row>
    <row r="92" customFormat="false" ht="15" hidden="false" customHeight="false" outlineLevel="0" collapsed="false">
      <c r="A92" s="6" t="str">
        <f aca="false">IF('Carga Vigilador'!A92="","",'Carga Vigilador'!A92)</f>
        <v/>
      </c>
      <c r="B92" s="11" t="str">
        <f aca="false">IF('Carga Vigilador'!B92="","",'Carga Vigilador'!B92)</f>
        <v/>
      </c>
      <c r="C92" s="12" t="str">
        <f aca="false">IF('Carga Vigilador'!C92="","",'Carga Vigilador'!C92)</f>
        <v/>
      </c>
      <c r="D92" s="13" t="str">
        <f aca="false">IF('Carga Vigilador'!D92="","",'Carga Vigilador'!D92)</f>
        <v/>
      </c>
      <c r="E92" s="6" t="str">
        <f aca="false">IF('Carga Vigilador'!E92="","",'Carga Vigilador'!E92)</f>
        <v/>
      </c>
      <c r="F92" s="13" t="str">
        <f aca="false">IF('Carga Vigilador'!F92="","",'Carga Vigilador'!F92)</f>
        <v/>
      </c>
      <c r="G92" s="13" t="str">
        <f aca="false">IF('Carga Vigilador'!G92="","",'Carga Vigilador'!G92)</f>
        <v/>
      </c>
      <c r="H92" s="14"/>
      <c r="I92" s="15"/>
      <c r="J92" s="14"/>
      <c r="K92" s="15"/>
      <c r="L92" s="16"/>
      <c r="M92" s="17"/>
      <c r="N92" s="18" t="str">
        <f aca="false">IF(B92="","",IF(J92="Sí","Multa aplicada",IF(J92="No","Sin multa",IF(H92="Sí","Descargo enviado","Pendiente"))))</f>
        <v/>
      </c>
    </row>
    <row r="93" customFormat="false" ht="15" hidden="false" customHeight="false" outlineLevel="0" collapsed="false">
      <c r="A93" s="6" t="str">
        <f aca="false">IF('Carga Vigilador'!A93="","",'Carga Vigilador'!A93)</f>
        <v/>
      </c>
      <c r="B93" s="11" t="str">
        <f aca="false">IF('Carga Vigilador'!B93="","",'Carga Vigilador'!B93)</f>
        <v/>
      </c>
      <c r="C93" s="12" t="str">
        <f aca="false">IF('Carga Vigilador'!C93="","",'Carga Vigilador'!C93)</f>
        <v/>
      </c>
      <c r="D93" s="13" t="str">
        <f aca="false">IF('Carga Vigilador'!D93="","",'Carga Vigilador'!D93)</f>
        <v/>
      </c>
      <c r="E93" s="6" t="str">
        <f aca="false">IF('Carga Vigilador'!E93="","",'Carga Vigilador'!E93)</f>
        <v/>
      </c>
      <c r="F93" s="13" t="str">
        <f aca="false">IF('Carga Vigilador'!F93="","",'Carga Vigilador'!F93)</f>
        <v/>
      </c>
      <c r="G93" s="13" t="str">
        <f aca="false">IF('Carga Vigilador'!G93="","",'Carga Vigilador'!G93)</f>
        <v/>
      </c>
      <c r="H93" s="14"/>
      <c r="I93" s="15"/>
      <c r="J93" s="14"/>
      <c r="K93" s="15"/>
      <c r="L93" s="16"/>
      <c r="M93" s="17"/>
      <c r="N93" s="18" t="str">
        <f aca="false">IF(B93="","",IF(J93="Sí","Multa aplicada",IF(J93="No","Sin multa",IF(H93="Sí","Descargo enviado","Pendiente"))))</f>
        <v/>
      </c>
    </row>
    <row r="94" customFormat="false" ht="15" hidden="false" customHeight="false" outlineLevel="0" collapsed="false">
      <c r="A94" s="6" t="str">
        <f aca="false">IF('Carga Vigilador'!A94="","",'Carga Vigilador'!A94)</f>
        <v/>
      </c>
      <c r="B94" s="11" t="str">
        <f aca="false">IF('Carga Vigilador'!B94="","",'Carga Vigilador'!B94)</f>
        <v/>
      </c>
      <c r="C94" s="12" t="str">
        <f aca="false">IF('Carga Vigilador'!C94="","",'Carga Vigilador'!C94)</f>
        <v/>
      </c>
      <c r="D94" s="13" t="str">
        <f aca="false">IF('Carga Vigilador'!D94="","",'Carga Vigilador'!D94)</f>
        <v/>
      </c>
      <c r="E94" s="6" t="str">
        <f aca="false">IF('Carga Vigilador'!E94="","",'Carga Vigilador'!E94)</f>
        <v/>
      </c>
      <c r="F94" s="13" t="str">
        <f aca="false">IF('Carga Vigilador'!F94="","",'Carga Vigilador'!F94)</f>
        <v/>
      </c>
      <c r="G94" s="13" t="str">
        <f aca="false">IF('Carga Vigilador'!G94="","",'Carga Vigilador'!G94)</f>
        <v/>
      </c>
      <c r="H94" s="14"/>
      <c r="I94" s="15"/>
      <c r="J94" s="14"/>
      <c r="K94" s="15"/>
      <c r="L94" s="16"/>
      <c r="M94" s="17"/>
      <c r="N94" s="18" t="str">
        <f aca="false">IF(B94="","",IF(J94="Sí","Multa aplicada",IF(J94="No","Sin multa",IF(H94="Sí","Descargo enviado","Pendiente"))))</f>
        <v/>
      </c>
    </row>
    <row r="95" customFormat="false" ht="15" hidden="false" customHeight="false" outlineLevel="0" collapsed="false">
      <c r="A95" s="6" t="str">
        <f aca="false">IF('Carga Vigilador'!A95="","",'Carga Vigilador'!A95)</f>
        <v/>
      </c>
      <c r="B95" s="11" t="str">
        <f aca="false">IF('Carga Vigilador'!B95="","",'Carga Vigilador'!B95)</f>
        <v/>
      </c>
      <c r="C95" s="12" t="str">
        <f aca="false">IF('Carga Vigilador'!C95="","",'Carga Vigilador'!C95)</f>
        <v/>
      </c>
      <c r="D95" s="13" t="str">
        <f aca="false">IF('Carga Vigilador'!D95="","",'Carga Vigilador'!D95)</f>
        <v/>
      </c>
      <c r="E95" s="6" t="str">
        <f aca="false">IF('Carga Vigilador'!E95="","",'Carga Vigilador'!E95)</f>
        <v/>
      </c>
      <c r="F95" s="13" t="str">
        <f aca="false">IF('Carga Vigilador'!F95="","",'Carga Vigilador'!F95)</f>
        <v/>
      </c>
      <c r="G95" s="13" t="str">
        <f aca="false">IF('Carga Vigilador'!G95="","",'Carga Vigilador'!G95)</f>
        <v/>
      </c>
      <c r="H95" s="14"/>
      <c r="I95" s="15"/>
      <c r="J95" s="14"/>
      <c r="K95" s="15"/>
      <c r="L95" s="16"/>
      <c r="M95" s="17"/>
      <c r="N95" s="18" t="str">
        <f aca="false">IF(B95="","",IF(J95="Sí","Multa aplicada",IF(J95="No","Sin multa",IF(H95="Sí","Descargo enviado","Pendiente"))))</f>
        <v/>
      </c>
    </row>
    <row r="96" customFormat="false" ht="15" hidden="false" customHeight="false" outlineLevel="0" collapsed="false">
      <c r="A96" s="6" t="str">
        <f aca="false">IF('Carga Vigilador'!A96="","",'Carga Vigilador'!A96)</f>
        <v/>
      </c>
      <c r="B96" s="11" t="str">
        <f aca="false">IF('Carga Vigilador'!B96="","",'Carga Vigilador'!B96)</f>
        <v/>
      </c>
      <c r="C96" s="12" t="str">
        <f aca="false">IF('Carga Vigilador'!C96="","",'Carga Vigilador'!C96)</f>
        <v/>
      </c>
      <c r="D96" s="13" t="str">
        <f aca="false">IF('Carga Vigilador'!D96="","",'Carga Vigilador'!D96)</f>
        <v/>
      </c>
      <c r="E96" s="6" t="str">
        <f aca="false">IF('Carga Vigilador'!E96="","",'Carga Vigilador'!E96)</f>
        <v/>
      </c>
      <c r="F96" s="13" t="str">
        <f aca="false">IF('Carga Vigilador'!F96="","",'Carga Vigilador'!F96)</f>
        <v/>
      </c>
      <c r="G96" s="13" t="str">
        <f aca="false">IF('Carga Vigilador'!G96="","",'Carga Vigilador'!G96)</f>
        <v/>
      </c>
      <c r="H96" s="14"/>
      <c r="I96" s="15"/>
      <c r="J96" s="14"/>
      <c r="K96" s="15"/>
      <c r="L96" s="16"/>
      <c r="M96" s="17"/>
      <c r="N96" s="18" t="str">
        <f aca="false">IF(B96="","",IF(J96="Sí","Multa aplicada",IF(J96="No","Sin multa",IF(H96="Sí","Descargo enviado","Pendiente"))))</f>
        <v/>
      </c>
    </row>
    <row r="97" customFormat="false" ht="15" hidden="false" customHeight="false" outlineLevel="0" collapsed="false">
      <c r="A97" s="6" t="str">
        <f aca="false">IF('Carga Vigilador'!A97="","",'Carga Vigilador'!A97)</f>
        <v/>
      </c>
      <c r="B97" s="11" t="str">
        <f aca="false">IF('Carga Vigilador'!B97="","",'Carga Vigilador'!B97)</f>
        <v/>
      </c>
      <c r="C97" s="12" t="str">
        <f aca="false">IF('Carga Vigilador'!C97="","",'Carga Vigilador'!C97)</f>
        <v/>
      </c>
      <c r="D97" s="13" t="str">
        <f aca="false">IF('Carga Vigilador'!D97="","",'Carga Vigilador'!D97)</f>
        <v/>
      </c>
      <c r="E97" s="6" t="str">
        <f aca="false">IF('Carga Vigilador'!E97="","",'Carga Vigilador'!E97)</f>
        <v/>
      </c>
      <c r="F97" s="13" t="str">
        <f aca="false">IF('Carga Vigilador'!F97="","",'Carga Vigilador'!F97)</f>
        <v/>
      </c>
      <c r="G97" s="13" t="str">
        <f aca="false">IF('Carga Vigilador'!G97="","",'Carga Vigilador'!G97)</f>
        <v/>
      </c>
      <c r="H97" s="14"/>
      <c r="I97" s="15"/>
      <c r="J97" s="14"/>
      <c r="K97" s="15"/>
      <c r="L97" s="16"/>
      <c r="M97" s="17"/>
      <c r="N97" s="18" t="str">
        <f aca="false">IF(B97="","",IF(J97="Sí","Multa aplicada",IF(J97="No","Sin multa",IF(H97="Sí","Descargo enviado","Pendiente"))))</f>
        <v/>
      </c>
    </row>
    <row r="98" customFormat="false" ht="15" hidden="false" customHeight="false" outlineLevel="0" collapsed="false">
      <c r="A98" s="6" t="str">
        <f aca="false">IF('Carga Vigilador'!A98="","",'Carga Vigilador'!A98)</f>
        <v/>
      </c>
      <c r="B98" s="11" t="str">
        <f aca="false">IF('Carga Vigilador'!B98="","",'Carga Vigilador'!B98)</f>
        <v/>
      </c>
      <c r="C98" s="12" t="str">
        <f aca="false">IF('Carga Vigilador'!C98="","",'Carga Vigilador'!C98)</f>
        <v/>
      </c>
      <c r="D98" s="13" t="str">
        <f aca="false">IF('Carga Vigilador'!D98="","",'Carga Vigilador'!D98)</f>
        <v/>
      </c>
      <c r="E98" s="6" t="str">
        <f aca="false">IF('Carga Vigilador'!E98="","",'Carga Vigilador'!E98)</f>
        <v/>
      </c>
      <c r="F98" s="13" t="str">
        <f aca="false">IF('Carga Vigilador'!F98="","",'Carga Vigilador'!F98)</f>
        <v/>
      </c>
      <c r="G98" s="13" t="str">
        <f aca="false">IF('Carga Vigilador'!G98="","",'Carga Vigilador'!G98)</f>
        <v/>
      </c>
      <c r="H98" s="14"/>
      <c r="I98" s="15"/>
      <c r="J98" s="14"/>
      <c r="K98" s="15"/>
      <c r="L98" s="16"/>
      <c r="M98" s="17"/>
      <c r="N98" s="18" t="str">
        <f aca="false">IF(B98="","",IF(J98="Sí","Multa aplicada",IF(J98="No","Sin multa",IF(H98="Sí","Descargo enviado","Pendiente"))))</f>
        <v/>
      </c>
    </row>
    <row r="99" customFormat="false" ht="15" hidden="false" customHeight="false" outlineLevel="0" collapsed="false">
      <c r="A99" s="6" t="str">
        <f aca="false">IF('Carga Vigilador'!A99="","",'Carga Vigilador'!A99)</f>
        <v/>
      </c>
      <c r="B99" s="11" t="str">
        <f aca="false">IF('Carga Vigilador'!B99="","",'Carga Vigilador'!B99)</f>
        <v/>
      </c>
      <c r="C99" s="12" t="str">
        <f aca="false">IF('Carga Vigilador'!C99="","",'Carga Vigilador'!C99)</f>
        <v/>
      </c>
      <c r="D99" s="13" t="str">
        <f aca="false">IF('Carga Vigilador'!D99="","",'Carga Vigilador'!D99)</f>
        <v/>
      </c>
      <c r="E99" s="6" t="str">
        <f aca="false">IF('Carga Vigilador'!E99="","",'Carga Vigilador'!E99)</f>
        <v/>
      </c>
      <c r="F99" s="13" t="str">
        <f aca="false">IF('Carga Vigilador'!F99="","",'Carga Vigilador'!F99)</f>
        <v/>
      </c>
      <c r="G99" s="13" t="str">
        <f aca="false">IF('Carga Vigilador'!G99="","",'Carga Vigilador'!G99)</f>
        <v/>
      </c>
      <c r="H99" s="14"/>
      <c r="I99" s="15"/>
      <c r="J99" s="14"/>
      <c r="K99" s="15"/>
      <c r="L99" s="16"/>
      <c r="M99" s="17"/>
      <c r="N99" s="18" t="str">
        <f aca="false">IF(B99="","",IF(J99="Sí","Multa aplicada",IF(J99="No","Sin multa",IF(H99="Sí","Descargo enviado","Pendiente"))))</f>
        <v/>
      </c>
    </row>
    <row r="100" customFormat="false" ht="15" hidden="false" customHeight="false" outlineLevel="0" collapsed="false">
      <c r="A100" s="6" t="str">
        <f aca="false">IF('Carga Vigilador'!A100="","",'Carga Vigilador'!A100)</f>
        <v/>
      </c>
      <c r="B100" s="11" t="str">
        <f aca="false">IF('Carga Vigilador'!B100="","",'Carga Vigilador'!B100)</f>
        <v/>
      </c>
      <c r="C100" s="12" t="str">
        <f aca="false">IF('Carga Vigilador'!C100="","",'Carga Vigilador'!C100)</f>
        <v/>
      </c>
      <c r="D100" s="13" t="str">
        <f aca="false">IF('Carga Vigilador'!D100="","",'Carga Vigilador'!D100)</f>
        <v/>
      </c>
      <c r="E100" s="6" t="str">
        <f aca="false">IF('Carga Vigilador'!E100="","",'Carga Vigilador'!E100)</f>
        <v/>
      </c>
      <c r="F100" s="13" t="str">
        <f aca="false">IF('Carga Vigilador'!F100="","",'Carga Vigilador'!F100)</f>
        <v/>
      </c>
      <c r="G100" s="13" t="str">
        <f aca="false">IF('Carga Vigilador'!G100="","",'Carga Vigilador'!G100)</f>
        <v/>
      </c>
      <c r="H100" s="14"/>
      <c r="I100" s="15"/>
      <c r="J100" s="14"/>
      <c r="K100" s="15"/>
      <c r="L100" s="16"/>
      <c r="M100" s="17"/>
      <c r="N100" s="18" t="str">
        <f aca="false">IF(B100="","",IF(J100="Sí","Multa aplicada",IF(J100="No","Sin multa",IF(H100="Sí","Descargo enviado","Pendiente"))))</f>
        <v/>
      </c>
    </row>
    <row r="101" customFormat="false" ht="15" hidden="false" customHeight="false" outlineLevel="0" collapsed="false">
      <c r="A101" s="6" t="str">
        <f aca="false">IF('Carga Vigilador'!A101="","",'Carga Vigilador'!A101)</f>
        <v/>
      </c>
      <c r="B101" s="11" t="str">
        <f aca="false">IF('Carga Vigilador'!B101="","",'Carga Vigilador'!B101)</f>
        <v/>
      </c>
      <c r="C101" s="12" t="str">
        <f aca="false">IF('Carga Vigilador'!C101="","",'Carga Vigilador'!C101)</f>
        <v/>
      </c>
      <c r="D101" s="13" t="str">
        <f aca="false">IF('Carga Vigilador'!D101="","",'Carga Vigilador'!D101)</f>
        <v/>
      </c>
      <c r="E101" s="6" t="str">
        <f aca="false">IF('Carga Vigilador'!E101="","",'Carga Vigilador'!E101)</f>
        <v/>
      </c>
      <c r="F101" s="13" t="str">
        <f aca="false">IF('Carga Vigilador'!F101="","",'Carga Vigilador'!F101)</f>
        <v/>
      </c>
      <c r="G101" s="13" t="str">
        <f aca="false">IF('Carga Vigilador'!G101="","",'Carga Vigilador'!G101)</f>
        <v/>
      </c>
      <c r="H101" s="14"/>
      <c r="I101" s="15"/>
      <c r="J101" s="14"/>
      <c r="K101" s="15"/>
      <c r="L101" s="16"/>
      <c r="M101" s="17"/>
      <c r="N101" s="18" t="str">
        <f aca="false">IF(B101="","",IF(J101="Sí","Multa aplicada",IF(J101="No","Sin multa",IF(H101="Sí","Descargo enviado","Pendiente"))))</f>
        <v/>
      </c>
    </row>
    <row r="102" customFormat="false" ht="15" hidden="false" customHeight="false" outlineLevel="0" collapsed="false">
      <c r="A102" s="6" t="str">
        <f aca="false">IF('Carga Vigilador'!A102="","",'Carga Vigilador'!A102)</f>
        <v/>
      </c>
      <c r="B102" s="11" t="str">
        <f aca="false">IF('Carga Vigilador'!B102="","",'Carga Vigilador'!B102)</f>
        <v/>
      </c>
      <c r="C102" s="12" t="str">
        <f aca="false">IF('Carga Vigilador'!C102="","",'Carga Vigilador'!C102)</f>
        <v/>
      </c>
      <c r="D102" s="13" t="str">
        <f aca="false">IF('Carga Vigilador'!D102="","",'Carga Vigilador'!D102)</f>
        <v/>
      </c>
      <c r="E102" s="6" t="str">
        <f aca="false">IF('Carga Vigilador'!E102="","",'Carga Vigilador'!E102)</f>
        <v/>
      </c>
      <c r="F102" s="13" t="str">
        <f aca="false">IF('Carga Vigilador'!F102="","",'Carga Vigilador'!F102)</f>
        <v/>
      </c>
      <c r="G102" s="13" t="str">
        <f aca="false">IF('Carga Vigilador'!G102="","",'Carga Vigilador'!G102)</f>
        <v/>
      </c>
      <c r="H102" s="14"/>
      <c r="I102" s="15"/>
      <c r="J102" s="14"/>
      <c r="K102" s="15"/>
      <c r="L102" s="16"/>
      <c r="M102" s="17"/>
      <c r="N102" s="18" t="str">
        <f aca="false">IF(B102="","",IF(J102="Sí","Multa aplicada",IF(J102="No","Sin multa",IF(H102="Sí","Descargo enviado","Pendiente"))))</f>
        <v/>
      </c>
    </row>
    <row r="103" customFormat="false" ht="15" hidden="false" customHeight="false" outlineLevel="0" collapsed="false">
      <c r="A103" s="6" t="str">
        <f aca="false">IF('Carga Vigilador'!A103="","",'Carga Vigilador'!A103)</f>
        <v/>
      </c>
      <c r="B103" s="11" t="str">
        <f aca="false">IF('Carga Vigilador'!B103="","",'Carga Vigilador'!B103)</f>
        <v/>
      </c>
      <c r="C103" s="12" t="str">
        <f aca="false">IF('Carga Vigilador'!C103="","",'Carga Vigilador'!C103)</f>
        <v/>
      </c>
      <c r="D103" s="13" t="str">
        <f aca="false">IF('Carga Vigilador'!D103="","",'Carga Vigilador'!D103)</f>
        <v/>
      </c>
      <c r="E103" s="6" t="str">
        <f aca="false">IF('Carga Vigilador'!E103="","",'Carga Vigilador'!E103)</f>
        <v/>
      </c>
      <c r="F103" s="13" t="str">
        <f aca="false">IF('Carga Vigilador'!F103="","",'Carga Vigilador'!F103)</f>
        <v/>
      </c>
      <c r="G103" s="13" t="str">
        <f aca="false">IF('Carga Vigilador'!G103="","",'Carga Vigilador'!G103)</f>
        <v/>
      </c>
      <c r="H103" s="14"/>
      <c r="I103" s="15"/>
      <c r="J103" s="14"/>
      <c r="K103" s="15"/>
      <c r="L103" s="16"/>
      <c r="M103" s="17"/>
      <c r="N103" s="18" t="str">
        <f aca="false">IF(B103="","",IF(J103="Sí","Multa aplicada",IF(J103="No","Sin multa",IF(H103="Sí","Descargo enviado","Pendiente"))))</f>
        <v/>
      </c>
    </row>
    <row r="104" customFormat="false" ht="15" hidden="false" customHeight="false" outlineLevel="0" collapsed="false">
      <c r="A104" s="6" t="str">
        <f aca="false">IF('Carga Vigilador'!A104="","",'Carga Vigilador'!A104)</f>
        <v/>
      </c>
      <c r="B104" s="11" t="str">
        <f aca="false">IF('Carga Vigilador'!B104="","",'Carga Vigilador'!B104)</f>
        <v/>
      </c>
      <c r="C104" s="12" t="str">
        <f aca="false">IF('Carga Vigilador'!C104="","",'Carga Vigilador'!C104)</f>
        <v/>
      </c>
      <c r="D104" s="13" t="str">
        <f aca="false">IF('Carga Vigilador'!D104="","",'Carga Vigilador'!D104)</f>
        <v/>
      </c>
      <c r="E104" s="6" t="str">
        <f aca="false">IF('Carga Vigilador'!E104="","",'Carga Vigilador'!E104)</f>
        <v/>
      </c>
      <c r="F104" s="13" t="str">
        <f aca="false">IF('Carga Vigilador'!F104="","",'Carga Vigilador'!F104)</f>
        <v/>
      </c>
      <c r="G104" s="13" t="str">
        <f aca="false">IF('Carga Vigilador'!G104="","",'Carga Vigilador'!G104)</f>
        <v/>
      </c>
      <c r="H104" s="14"/>
      <c r="I104" s="15"/>
      <c r="J104" s="14"/>
      <c r="K104" s="15"/>
      <c r="L104" s="16"/>
      <c r="M104" s="17"/>
      <c r="N104" s="18" t="str">
        <f aca="false">IF(B104="","",IF(J104="Sí","Multa aplicada",IF(J104="No","Sin multa",IF(H104="Sí","Descargo enviado","Pendiente"))))</f>
        <v/>
      </c>
    </row>
    <row r="105" customFormat="false" ht="15" hidden="false" customHeight="false" outlineLevel="0" collapsed="false">
      <c r="A105" s="6" t="str">
        <f aca="false">IF('Carga Vigilador'!A105="","",'Carga Vigilador'!A105)</f>
        <v/>
      </c>
      <c r="B105" s="11" t="str">
        <f aca="false">IF('Carga Vigilador'!B105="","",'Carga Vigilador'!B105)</f>
        <v/>
      </c>
      <c r="C105" s="12" t="str">
        <f aca="false">IF('Carga Vigilador'!C105="","",'Carga Vigilador'!C105)</f>
        <v/>
      </c>
      <c r="D105" s="13" t="str">
        <f aca="false">IF('Carga Vigilador'!D105="","",'Carga Vigilador'!D105)</f>
        <v/>
      </c>
      <c r="E105" s="6" t="str">
        <f aca="false">IF('Carga Vigilador'!E105="","",'Carga Vigilador'!E105)</f>
        <v/>
      </c>
      <c r="F105" s="13" t="str">
        <f aca="false">IF('Carga Vigilador'!F105="","",'Carga Vigilador'!F105)</f>
        <v/>
      </c>
      <c r="G105" s="13" t="str">
        <f aca="false">IF('Carga Vigilador'!G105="","",'Carga Vigilador'!G105)</f>
        <v/>
      </c>
      <c r="H105" s="14"/>
      <c r="I105" s="15"/>
      <c r="J105" s="14"/>
      <c r="K105" s="15"/>
      <c r="L105" s="16"/>
      <c r="M105" s="17"/>
      <c r="N105" s="18" t="str">
        <f aca="false">IF(B105="","",IF(J105="Sí","Multa aplicada",IF(J105="No","Sin multa",IF(H105="Sí","Descargo enviado","Pendiente"))))</f>
        <v/>
      </c>
    </row>
    <row r="106" customFormat="false" ht="15" hidden="false" customHeight="false" outlineLevel="0" collapsed="false">
      <c r="A106" s="6" t="str">
        <f aca="false">IF('Carga Vigilador'!A106="","",'Carga Vigilador'!A106)</f>
        <v/>
      </c>
      <c r="B106" s="11" t="str">
        <f aca="false">IF('Carga Vigilador'!B106="","",'Carga Vigilador'!B106)</f>
        <v/>
      </c>
      <c r="C106" s="12" t="str">
        <f aca="false">IF('Carga Vigilador'!C106="","",'Carga Vigilador'!C106)</f>
        <v/>
      </c>
      <c r="D106" s="13" t="str">
        <f aca="false">IF('Carga Vigilador'!D106="","",'Carga Vigilador'!D106)</f>
        <v/>
      </c>
      <c r="E106" s="6" t="str">
        <f aca="false">IF('Carga Vigilador'!E106="","",'Carga Vigilador'!E106)</f>
        <v/>
      </c>
      <c r="F106" s="13" t="str">
        <f aca="false">IF('Carga Vigilador'!F106="","",'Carga Vigilador'!F106)</f>
        <v/>
      </c>
      <c r="G106" s="13" t="str">
        <f aca="false">IF('Carga Vigilador'!G106="","",'Carga Vigilador'!G106)</f>
        <v/>
      </c>
      <c r="H106" s="14"/>
      <c r="I106" s="15"/>
      <c r="J106" s="14"/>
      <c r="K106" s="15"/>
      <c r="L106" s="16"/>
      <c r="M106" s="17"/>
      <c r="N106" s="18" t="str">
        <f aca="false">IF(B106="","",IF(J106="Sí","Multa aplicada",IF(J106="No","Sin multa",IF(H106="Sí","Descargo enviado","Pendiente"))))</f>
        <v/>
      </c>
    </row>
    <row r="107" customFormat="false" ht="15" hidden="false" customHeight="false" outlineLevel="0" collapsed="false">
      <c r="A107" s="6" t="str">
        <f aca="false">IF('Carga Vigilador'!A107="","",'Carga Vigilador'!A107)</f>
        <v/>
      </c>
      <c r="B107" s="11" t="str">
        <f aca="false">IF('Carga Vigilador'!B107="","",'Carga Vigilador'!B107)</f>
        <v/>
      </c>
      <c r="C107" s="12" t="str">
        <f aca="false">IF('Carga Vigilador'!C107="","",'Carga Vigilador'!C107)</f>
        <v/>
      </c>
      <c r="D107" s="13" t="str">
        <f aca="false">IF('Carga Vigilador'!D107="","",'Carga Vigilador'!D107)</f>
        <v/>
      </c>
      <c r="E107" s="6" t="str">
        <f aca="false">IF('Carga Vigilador'!E107="","",'Carga Vigilador'!E107)</f>
        <v/>
      </c>
      <c r="F107" s="13" t="str">
        <f aca="false">IF('Carga Vigilador'!F107="","",'Carga Vigilador'!F107)</f>
        <v/>
      </c>
      <c r="G107" s="13" t="str">
        <f aca="false">IF('Carga Vigilador'!G107="","",'Carga Vigilador'!G107)</f>
        <v/>
      </c>
      <c r="H107" s="14"/>
      <c r="I107" s="15"/>
      <c r="J107" s="14"/>
      <c r="K107" s="15"/>
      <c r="L107" s="16"/>
      <c r="M107" s="17"/>
      <c r="N107" s="18" t="str">
        <f aca="false">IF(B107="","",IF(J107="Sí","Multa aplicada",IF(J107="No","Sin multa",IF(H107="Sí","Descargo enviado","Pendiente"))))</f>
        <v/>
      </c>
    </row>
    <row r="108" customFormat="false" ht="15" hidden="false" customHeight="false" outlineLevel="0" collapsed="false">
      <c r="A108" s="6" t="str">
        <f aca="false">IF('Carga Vigilador'!A108="","",'Carga Vigilador'!A108)</f>
        <v/>
      </c>
      <c r="B108" s="11" t="str">
        <f aca="false">IF('Carga Vigilador'!B108="","",'Carga Vigilador'!B108)</f>
        <v/>
      </c>
      <c r="C108" s="12" t="str">
        <f aca="false">IF('Carga Vigilador'!C108="","",'Carga Vigilador'!C108)</f>
        <v/>
      </c>
      <c r="D108" s="13" t="str">
        <f aca="false">IF('Carga Vigilador'!D108="","",'Carga Vigilador'!D108)</f>
        <v/>
      </c>
      <c r="E108" s="6" t="str">
        <f aca="false">IF('Carga Vigilador'!E108="","",'Carga Vigilador'!E108)</f>
        <v/>
      </c>
      <c r="F108" s="13" t="str">
        <f aca="false">IF('Carga Vigilador'!F108="","",'Carga Vigilador'!F108)</f>
        <v/>
      </c>
      <c r="G108" s="13" t="str">
        <f aca="false">IF('Carga Vigilador'!G108="","",'Carga Vigilador'!G108)</f>
        <v/>
      </c>
      <c r="H108" s="14"/>
      <c r="I108" s="15"/>
      <c r="J108" s="14"/>
      <c r="K108" s="15"/>
      <c r="L108" s="16"/>
      <c r="M108" s="17"/>
      <c r="N108" s="18" t="str">
        <f aca="false">IF(B108="","",IF(J108="Sí","Multa aplicada",IF(J108="No","Sin multa",IF(H108="Sí","Descargo enviado","Pendiente"))))</f>
        <v/>
      </c>
    </row>
    <row r="109" customFormat="false" ht="15" hidden="false" customHeight="false" outlineLevel="0" collapsed="false">
      <c r="A109" s="6" t="str">
        <f aca="false">IF('Carga Vigilador'!A109="","",'Carga Vigilador'!A109)</f>
        <v/>
      </c>
      <c r="B109" s="11" t="str">
        <f aca="false">IF('Carga Vigilador'!B109="","",'Carga Vigilador'!B109)</f>
        <v/>
      </c>
      <c r="C109" s="12" t="str">
        <f aca="false">IF('Carga Vigilador'!C109="","",'Carga Vigilador'!C109)</f>
        <v/>
      </c>
      <c r="D109" s="13" t="str">
        <f aca="false">IF('Carga Vigilador'!D109="","",'Carga Vigilador'!D109)</f>
        <v/>
      </c>
      <c r="E109" s="6" t="str">
        <f aca="false">IF('Carga Vigilador'!E109="","",'Carga Vigilador'!E109)</f>
        <v/>
      </c>
      <c r="F109" s="13" t="str">
        <f aca="false">IF('Carga Vigilador'!F109="","",'Carga Vigilador'!F109)</f>
        <v/>
      </c>
      <c r="G109" s="13" t="str">
        <f aca="false">IF('Carga Vigilador'!G109="","",'Carga Vigilador'!G109)</f>
        <v/>
      </c>
      <c r="H109" s="14"/>
      <c r="I109" s="15"/>
      <c r="J109" s="14"/>
      <c r="K109" s="15"/>
      <c r="L109" s="16"/>
      <c r="M109" s="17"/>
      <c r="N109" s="18" t="str">
        <f aca="false">IF(B109="","",IF(J109="Sí","Multa aplicada",IF(J109="No","Sin multa",IF(H109="Sí","Descargo enviado","Pendiente"))))</f>
        <v/>
      </c>
    </row>
    <row r="110" customFormat="false" ht="15" hidden="false" customHeight="false" outlineLevel="0" collapsed="false">
      <c r="A110" s="6" t="str">
        <f aca="false">IF('Carga Vigilador'!A110="","",'Carga Vigilador'!A110)</f>
        <v/>
      </c>
      <c r="B110" s="11" t="str">
        <f aca="false">IF('Carga Vigilador'!B110="","",'Carga Vigilador'!B110)</f>
        <v/>
      </c>
      <c r="C110" s="12" t="str">
        <f aca="false">IF('Carga Vigilador'!C110="","",'Carga Vigilador'!C110)</f>
        <v/>
      </c>
      <c r="D110" s="13" t="str">
        <f aca="false">IF('Carga Vigilador'!D110="","",'Carga Vigilador'!D110)</f>
        <v/>
      </c>
      <c r="E110" s="6" t="str">
        <f aca="false">IF('Carga Vigilador'!E110="","",'Carga Vigilador'!E110)</f>
        <v/>
      </c>
      <c r="F110" s="13" t="str">
        <f aca="false">IF('Carga Vigilador'!F110="","",'Carga Vigilador'!F110)</f>
        <v/>
      </c>
      <c r="G110" s="13" t="str">
        <f aca="false">IF('Carga Vigilador'!G110="","",'Carga Vigilador'!G110)</f>
        <v/>
      </c>
      <c r="H110" s="14"/>
      <c r="I110" s="15"/>
      <c r="J110" s="14"/>
      <c r="K110" s="15"/>
      <c r="L110" s="16"/>
      <c r="M110" s="17"/>
      <c r="N110" s="18" t="str">
        <f aca="false">IF(B110="","",IF(J110="Sí","Multa aplicada",IF(J110="No","Sin multa",IF(H110="Sí","Descargo enviado","Pendiente"))))</f>
        <v/>
      </c>
    </row>
    <row r="111" customFormat="false" ht="15" hidden="false" customHeight="false" outlineLevel="0" collapsed="false">
      <c r="A111" s="6" t="str">
        <f aca="false">IF('Carga Vigilador'!A111="","",'Carga Vigilador'!A111)</f>
        <v/>
      </c>
      <c r="B111" s="11" t="str">
        <f aca="false">IF('Carga Vigilador'!B111="","",'Carga Vigilador'!B111)</f>
        <v/>
      </c>
      <c r="C111" s="12" t="str">
        <f aca="false">IF('Carga Vigilador'!C111="","",'Carga Vigilador'!C111)</f>
        <v/>
      </c>
      <c r="D111" s="13" t="str">
        <f aca="false">IF('Carga Vigilador'!D111="","",'Carga Vigilador'!D111)</f>
        <v/>
      </c>
      <c r="E111" s="6" t="str">
        <f aca="false">IF('Carga Vigilador'!E111="","",'Carga Vigilador'!E111)</f>
        <v/>
      </c>
      <c r="F111" s="13" t="str">
        <f aca="false">IF('Carga Vigilador'!F111="","",'Carga Vigilador'!F111)</f>
        <v/>
      </c>
      <c r="G111" s="13" t="str">
        <f aca="false">IF('Carga Vigilador'!G111="","",'Carga Vigilador'!G111)</f>
        <v/>
      </c>
      <c r="H111" s="14"/>
      <c r="I111" s="15"/>
      <c r="J111" s="14"/>
      <c r="K111" s="15"/>
      <c r="L111" s="16"/>
      <c r="M111" s="17"/>
      <c r="N111" s="18" t="str">
        <f aca="false">IF(B111="","",IF(J111="Sí","Multa aplicada",IF(J111="No","Sin multa",IF(H111="Sí","Descargo enviado","Pendiente"))))</f>
        <v/>
      </c>
    </row>
    <row r="112" customFormat="false" ht="15" hidden="false" customHeight="false" outlineLevel="0" collapsed="false">
      <c r="A112" s="6" t="str">
        <f aca="false">IF('Carga Vigilador'!A112="","",'Carga Vigilador'!A112)</f>
        <v/>
      </c>
      <c r="B112" s="11" t="str">
        <f aca="false">IF('Carga Vigilador'!B112="","",'Carga Vigilador'!B112)</f>
        <v/>
      </c>
      <c r="C112" s="12" t="str">
        <f aca="false">IF('Carga Vigilador'!C112="","",'Carga Vigilador'!C112)</f>
        <v/>
      </c>
      <c r="D112" s="13" t="str">
        <f aca="false">IF('Carga Vigilador'!D112="","",'Carga Vigilador'!D112)</f>
        <v/>
      </c>
      <c r="E112" s="6" t="str">
        <f aca="false">IF('Carga Vigilador'!E112="","",'Carga Vigilador'!E112)</f>
        <v/>
      </c>
      <c r="F112" s="13" t="str">
        <f aca="false">IF('Carga Vigilador'!F112="","",'Carga Vigilador'!F112)</f>
        <v/>
      </c>
      <c r="G112" s="13" t="str">
        <f aca="false">IF('Carga Vigilador'!G112="","",'Carga Vigilador'!G112)</f>
        <v/>
      </c>
      <c r="H112" s="14"/>
      <c r="I112" s="15"/>
      <c r="J112" s="14"/>
      <c r="K112" s="15"/>
      <c r="L112" s="16"/>
      <c r="M112" s="17"/>
      <c r="N112" s="18" t="str">
        <f aca="false">IF(B112="","",IF(J112="Sí","Multa aplicada",IF(J112="No","Sin multa",IF(H112="Sí","Descargo enviado","Pendiente"))))</f>
        <v/>
      </c>
    </row>
    <row r="113" customFormat="false" ht="15" hidden="false" customHeight="false" outlineLevel="0" collapsed="false">
      <c r="A113" s="6" t="str">
        <f aca="false">IF('Carga Vigilador'!A113="","",'Carga Vigilador'!A113)</f>
        <v/>
      </c>
      <c r="B113" s="11" t="str">
        <f aca="false">IF('Carga Vigilador'!B113="","",'Carga Vigilador'!B113)</f>
        <v/>
      </c>
      <c r="C113" s="12" t="str">
        <f aca="false">IF('Carga Vigilador'!C113="","",'Carga Vigilador'!C113)</f>
        <v/>
      </c>
      <c r="D113" s="13" t="str">
        <f aca="false">IF('Carga Vigilador'!D113="","",'Carga Vigilador'!D113)</f>
        <v/>
      </c>
      <c r="E113" s="6" t="str">
        <f aca="false">IF('Carga Vigilador'!E113="","",'Carga Vigilador'!E113)</f>
        <v/>
      </c>
      <c r="F113" s="13" t="str">
        <f aca="false">IF('Carga Vigilador'!F113="","",'Carga Vigilador'!F113)</f>
        <v/>
      </c>
      <c r="G113" s="13" t="str">
        <f aca="false">IF('Carga Vigilador'!G113="","",'Carga Vigilador'!G113)</f>
        <v/>
      </c>
      <c r="H113" s="14"/>
      <c r="I113" s="15"/>
      <c r="J113" s="14"/>
      <c r="K113" s="15"/>
      <c r="L113" s="16"/>
      <c r="M113" s="17"/>
      <c r="N113" s="18" t="str">
        <f aca="false">IF(B113="","",IF(J113="Sí","Multa aplicada",IF(J113="No","Sin multa",IF(H113="Sí","Descargo enviado","Pendiente"))))</f>
        <v/>
      </c>
    </row>
    <row r="114" customFormat="false" ht="15" hidden="false" customHeight="false" outlineLevel="0" collapsed="false">
      <c r="A114" s="6" t="str">
        <f aca="false">IF('Carga Vigilador'!A114="","",'Carga Vigilador'!A114)</f>
        <v/>
      </c>
      <c r="B114" s="11" t="str">
        <f aca="false">IF('Carga Vigilador'!B114="","",'Carga Vigilador'!B114)</f>
        <v/>
      </c>
      <c r="C114" s="12" t="str">
        <f aca="false">IF('Carga Vigilador'!C114="","",'Carga Vigilador'!C114)</f>
        <v/>
      </c>
      <c r="D114" s="13" t="str">
        <f aca="false">IF('Carga Vigilador'!D114="","",'Carga Vigilador'!D114)</f>
        <v/>
      </c>
      <c r="E114" s="6" t="str">
        <f aca="false">IF('Carga Vigilador'!E114="","",'Carga Vigilador'!E114)</f>
        <v/>
      </c>
      <c r="F114" s="13" t="str">
        <f aca="false">IF('Carga Vigilador'!F114="","",'Carga Vigilador'!F114)</f>
        <v/>
      </c>
      <c r="G114" s="13" t="str">
        <f aca="false">IF('Carga Vigilador'!G114="","",'Carga Vigilador'!G114)</f>
        <v/>
      </c>
      <c r="H114" s="14"/>
      <c r="I114" s="15"/>
      <c r="J114" s="14"/>
      <c r="K114" s="15"/>
      <c r="L114" s="16"/>
      <c r="M114" s="17"/>
      <c r="N114" s="18" t="str">
        <f aca="false">IF(B114="","",IF(J114="Sí","Multa aplicada",IF(J114="No","Sin multa",IF(H114="Sí","Descargo enviado","Pendiente"))))</f>
        <v/>
      </c>
    </row>
    <row r="115" customFormat="false" ht="15" hidden="false" customHeight="false" outlineLevel="0" collapsed="false">
      <c r="A115" s="6" t="str">
        <f aca="false">IF('Carga Vigilador'!A115="","",'Carga Vigilador'!A115)</f>
        <v/>
      </c>
      <c r="B115" s="11" t="str">
        <f aca="false">IF('Carga Vigilador'!B115="","",'Carga Vigilador'!B115)</f>
        <v/>
      </c>
      <c r="C115" s="12" t="str">
        <f aca="false">IF('Carga Vigilador'!C115="","",'Carga Vigilador'!C115)</f>
        <v/>
      </c>
      <c r="D115" s="13" t="str">
        <f aca="false">IF('Carga Vigilador'!D115="","",'Carga Vigilador'!D115)</f>
        <v/>
      </c>
      <c r="E115" s="6" t="str">
        <f aca="false">IF('Carga Vigilador'!E115="","",'Carga Vigilador'!E115)</f>
        <v/>
      </c>
      <c r="F115" s="13" t="str">
        <f aca="false">IF('Carga Vigilador'!F115="","",'Carga Vigilador'!F115)</f>
        <v/>
      </c>
      <c r="G115" s="13" t="str">
        <f aca="false">IF('Carga Vigilador'!G115="","",'Carga Vigilador'!G115)</f>
        <v/>
      </c>
      <c r="H115" s="14"/>
      <c r="I115" s="15"/>
      <c r="J115" s="14"/>
      <c r="K115" s="15"/>
      <c r="L115" s="16"/>
      <c r="M115" s="17"/>
      <c r="N115" s="18" t="str">
        <f aca="false">IF(B115="","",IF(J115="Sí","Multa aplicada",IF(J115="No","Sin multa",IF(H115="Sí","Descargo enviado","Pendiente"))))</f>
        <v/>
      </c>
    </row>
    <row r="116" customFormat="false" ht="15" hidden="false" customHeight="false" outlineLevel="0" collapsed="false">
      <c r="A116" s="6" t="str">
        <f aca="false">IF('Carga Vigilador'!A116="","",'Carga Vigilador'!A116)</f>
        <v/>
      </c>
      <c r="B116" s="11" t="str">
        <f aca="false">IF('Carga Vigilador'!B116="","",'Carga Vigilador'!B116)</f>
        <v/>
      </c>
      <c r="C116" s="12" t="str">
        <f aca="false">IF('Carga Vigilador'!C116="","",'Carga Vigilador'!C116)</f>
        <v/>
      </c>
      <c r="D116" s="13" t="str">
        <f aca="false">IF('Carga Vigilador'!D116="","",'Carga Vigilador'!D116)</f>
        <v/>
      </c>
      <c r="E116" s="6" t="str">
        <f aca="false">IF('Carga Vigilador'!E116="","",'Carga Vigilador'!E116)</f>
        <v/>
      </c>
      <c r="F116" s="13" t="str">
        <f aca="false">IF('Carga Vigilador'!F116="","",'Carga Vigilador'!F116)</f>
        <v/>
      </c>
      <c r="G116" s="13" t="str">
        <f aca="false">IF('Carga Vigilador'!G116="","",'Carga Vigilador'!G116)</f>
        <v/>
      </c>
      <c r="H116" s="14"/>
      <c r="I116" s="15"/>
      <c r="J116" s="14"/>
      <c r="K116" s="15"/>
      <c r="L116" s="16"/>
      <c r="M116" s="17"/>
      <c r="N116" s="18" t="str">
        <f aca="false">IF(B116="","",IF(J116="Sí","Multa aplicada",IF(J116="No","Sin multa",IF(H116="Sí","Descargo enviado","Pendiente"))))</f>
        <v/>
      </c>
    </row>
    <row r="117" customFormat="false" ht="15" hidden="false" customHeight="false" outlineLevel="0" collapsed="false">
      <c r="A117" s="6" t="str">
        <f aca="false">IF('Carga Vigilador'!A117="","",'Carga Vigilador'!A117)</f>
        <v/>
      </c>
      <c r="B117" s="11" t="str">
        <f aca="false">IF('Carga Vigilador'!B117="","",'Carga Vigilador'!B117)</f>
        <v/>
      </c>
      <c r="C117" s="12" t="str">
        <f aca="false">IF('Carga Vigilador'!C117="","",'Carga Vigilador'!C117)</f>
        <v/>
      </c>
      <c r="D117" s="13" t="str">
        <f aca="false">IF('Carga Vigilador'!D117="","",'Carga Vigilador'!D117)</f>
        <v/>
      </c>
      <c r="E117" s="6" t="str">
        <f aca="false">IF('Carga Vigilador'!E117="","",'Carga Vigilador'!E117)</f>
        <v/>
      </c>
      <c r="F117" s="13" t="str">
        <f aca="false">IF('Carga Vigilador'!F117="","",'Carga Vigilador'!F117)</f>
        <v/>
      </c>
      <c r="G117" s="13" t="str">
        <f aca="false">IF('Carga Vigilador'!G117="","",'Carga Vigilador'!G117)</f>
        <v/>
      </c>
      <c r="H117" s="14"/>
      <c r="I117" s="15"/>
      <c r="J117" s="14"/>
      <c r="K117" s="15"/>
      <c r="L117" s="16"/>
      <c r="M117" s="17"/>
      <c r="N117" s="18" t="str">
        <f aca="false">IF(B117="","",IF(J117="Sí","Multa aplicada",IF(J117="No","Sin multa",IF(H117="Sí","Descargo enviado","Pendiente"))))</f>
        <v/>
      </c>
    </row>
    <row r="118" customFormat="false" ht="15" hidden="false" customHeight="false" outlineLevel="0" collapsed="false">
      <c r="A118" s="6" t="str">
        <f aca="false">IF('Carga Vigilador'!A118="","",'Carga Vigilador'!A118)</f>
        <v/>
      </c>
      <c r="B118" s="11" t="str">
        <f aca="false">IF('Carga Vigilador'!B118="","",'Carga Vigilador'!B118)</f>
        <v/>
      </c>
      <c r="C118" s="12" t="str">
        <f aca="false">IF('Carga Vigilador'!C118="","",'Carga Vigilador'!C118)</f>
        <v/>
      </c>
      <c r="D118" s="13" t="str">
        <f aca="false">IF('Carga Vigilador'!D118="","",'Carga Vigilador'!D118)</f>
        <v/>
      </c>
      <c r="E118" s="6" t="str">
        <f aca="false">IF('Carga Vigilador'!E118="","",'Carga Vigilador'!E118)</f>
        <v/>
      </c>
      <c r="F118" s="13" t="str">
        <f aca="false">IF('Carga Vigilador'!F118="","",'Carga Vigilador'!F118)</f>
        <v/>
      </c>
      <c r="G118" s="13" t="str">
        <f aca="false">IF('Carga Vigilador'!G118="","",'Carga Vigilador'!G118)</f>
        <v/>
      </c>
      <c r="H118" s="14"/>
      <c r="I118" s="15"/>
      <c r="J118" s="14"/>
      <c r="K118" s="15"/>
      <c r="L118" s="16"/>
      <c r="M118" s="17"/>
      <c r="N118" s="18" t="str">
        <f aca="false">IF(B118="","",IF(J118="Sí","Multa aplicada",IF(J118="No","Sin multa",IF(H118="Sí","Descargo enviado","Pendiente"))))</f>
        <v/>
      </c>
    </row>
    <row r="119" customFormat="false" ht="15" hidden="false" customHeight="false" outlineLevel="0" collapsed="false">
      <c r="A119" s="6" t="str">
        <f aca="false">IF('Carga Vigilador'!A119="","",'Carga Vigilador'!A119)</f>
        <v/>
      </c>
      <c r="B119" s="11" t="str">
        <f aca="false">IF('Carga Vigilador'!B119="","",'Carga Vigilador'!B119)</f>
        <v/>
      </c>
      <c r="C119" s="12" t="str">
        <f aca="false">IF('Carga Vigilador'!C119="","",'Carga Vigilador'!C119)</f>
        <v/>
      </c>
      <c r="D119" s="13" t="str">
        <f aca="false">IF('Carga Vigilador'!D119="","",'Carga Vigilador'!D119)</f>
        <v/>
      </c>
      <c r="E119" s="6" t="str">
        <f aca="false">IF('Carga Vigilador'!E119="","",'Carga Vigilador'!E119)</f>
        <v/>
      </c>
      <c r="F119" s="13" t="str">
        <f aca="false">IF('Carga Vigilador'!F119="","",'Carga Vigilador'!F119)</f>
        <v/>
      </c>
      <c r="G119" s="13" t="str">
        <f aca="false">IF('Carga Vigilador'!G119="","",'Carga Vigilador'!G119)</f>
        <v/>
      </c>
      <c r="H119" s="14"/>
      <c r="I119" s="15"/>
      <c r="J119" s="14"/>
      <c r="K119" s="15"/>
      <c r="L119" s="16"/>
      <c r="M119" s="17"/>
      <c r="N119" s="18" t="str">
        <f aca="false">IF(B119="","",IF(J119="Sí","Multa aplicada",IF(J119="No","Sin multa",IF(H119="Sí","Descargo enviado","Pendiente"))))</f>
        <v/>
      </c>
    </row>
    <row r="120" customFormat="false" ht="15" hidden="false" customHeight="false" outlineLevel="0" collapsed="false">
      <c r="A120" s="6" t="str">
        <f aca="false">IF('Carga Vigilador'!A120="","",'Carga Vigilador'!A120)</f>
        <v/>
      </c>
      <c r="B120" s="11" t="str">
        <f aca="false">IF('Carga Vigilador'!B120="","",'Carga Vigilador'!B120)</f>
        <v/>
      </c>
      <c r="C120" s="12" t="str">
        <f aca="false">IF('Carga Vigilador'!C120="","",'Carga Vigilador'!C120)</f>
        <v/>
      </c>
      <c r="D120" s="13" t="str">
        <f aca="false">IF('Carga Vigilador'!D120="","",'Carga Vigilador'!D120)</f>
        <v/>
      </c>
      <c r="E120" s="6" t="str">
        <f aca="false">IF('Carga Vigilador'!E120="","",'Carga Vigilador'!E120)</f>
        <v/>
      </c>
      <c r="F120" s="13" t="str">
        <f aca="false">IF('Carga Vigilador'!F120="","",'Carga Vigilador'!F120)</f>
        <v/>
      </c>
      <c r="G120" s="13" t="str">
        <f aca="false">IF('Carga Vigilador'!G120="","",'Carga Vigilador'!G120)</f>
        <v/>
      </c>
      <c r="H120" s="14"/>
      <c r="I120" s="15"/>
      <c r="J120" s="14"/>
      <c r="K120" s="15"/>
      <c r="L120" s="16"/>
      <c r="M120" s="17"/>
      <c r="N120" s="18" t="str">
        <f aca="false">IF(B120="","",IF(J120="Sí","Multa aplicada",IF(J120="No","Sin multa",IF(H120="Sí","Descargo enviado","Pendiente"))))</f>
        <v/>
      </c>
    </row>
    <row r="121" customFormat="false" ht="15" hidden="false" customHeight="false" outlineLevel="0" collapsed="false">
      <c r="A121" s="6" t="str">
        <f aca="false">IF('Carga Vigilador'!A121="","",'Carga Vigilador'!A121)</f>
        <v/>
      </c>
      <c r="B121" s="11" t="str">
        <f aca="false">IF('Carga Vigilador'!B121="","",'Carga Vigilador'!B121)</f>
        <v/>
      </c>
      <c r="C121" s="12" t="str">
        <f aca="false">IF('Carga Vigilador'!C121="","",'Carga Vigilador'!C121)</f>
        <v/>
      </c>
      <c r="D121" s="13" t="str">
        <f aca="false">IF('Carga Vigilador'!D121="","",'Carga Vigilador'!D121)</f>
        <v/>
      </c>
      <c r="E121" s="6" t="str">
        <f aca="false">IF('Carga Vigilador'!E121="","",'Carga Vigilador'!E121)</f>
        <v/>
      </c>
      <c r="F121" s="13" t="str">
        <f aca="false">IF('Carga Vigilador'!F121="","",'Carga Vigilador'!F121)</f>
        <v/>
      </c>
      <c r="G121" s="13" t="str">
        <f aca="false">IF('Carga Vigilador'!G121="","",'Carga Vigilador'!G121)</f>
        <v/>
      </c>
      <c r="H121" s="14"/>
      <c r="I121" s="15"/>
      <c r="J121" s="14"/>
      <c r="K121" s="15"/>
      <c r="L121" s="16"/>
      <c r="M121" s="17"/>
      <c r="N121" s="18" t="str">
        <f aca="false">IF(B121="","",IF(J121="Sí","Multa aplicada",IF(J121="No","Sin multa",IF(H121="Sí","Descargo enviado","Pendiente"))))</f>
        <v/>
      </c>
    </row>
    <row r="122" customFormat="false" ht="15" hidden="false" customHeight="false" outlineLevel="0" collapsed="false">
      <c r="A122" s="6" t="str">
        <f aca="false">IF('Carga Vigilador'!A122="","",'Carga Vigilador'!A122)</f>
        <v/>
      </c>
      <c r="B122" s="11" t="str">
        <f aca="false">IF('Carga Vigilador'!B122="","",'Carga Vigilador'!B122)</f>
        <v/>
      </c>
      <c r="C122" s="12" t="str">
        <f aca="false">IF('Carga Vigilador'!C122="","",'Carga Vigilador'!C122)</f>
        <v/>
      </c>
      <c r="D122" s="13" t="str">
        <f aca="false">IF('Carga Vigilador'!D122="","",'Carga Vigilador'!D122)</f>
        <v/>
      </c>
      <c r="E122" s="6" t="str">
        <f aca="false">IF('Carga Vigilador'!E122="","",'Carga Vigilador'!E122)</f>
        <v/>
      </c>
      <c r="F122" s="13" t="str">
        <f aca="false">IF('Carga Vigilador'!F122="","",'Carga Vigilador'!F122)</f>
        <v/>
      </c>
      <c r="G122" s="13" t="str">
        <f aca="false">IF('Carga Vigilador'!G122="","",'Carga Vigilador'!G122)</f>
        <v/>
      </c>
      <c r="H122" s="14"/>
      <c r="I122" s="15"/>
      <c r="J122" s="14"/>
      <c r="K122" s="15"/>
      <c r="L122" s="16"/>
      <c r="M122" s="17"/>
      <c r="N122" s="18" t="str">
        <f aca="false">IF(B122="","",IF(J122="Sí","Multa aplicada",IF(J122="No","Sin multa",IF(H122="Sí","Descargo enviado","Pendiente"))))</f>
        <v/>
      </c>
    </row>
    <row r="123" customFormat="false" ht="15" hidden="false" customHeight="false" outlineLevel="0" collapsed="false">
      <c r="A123" s="6" t="str">
        <f aca="false">IF('Carga Vigilador'!A123="","",'Carga Vigilador'!A123)</f>
        <v/>
      </c>
      <c r="B123" s="11" t="str">
        <f aca="false">IF('Carga Vigilador'!B123="","",'Carga Vigilador'!B123)</f>
        <v/>
      </c>
      <c r="C123" s="12" t="str">
        <f aca="false">IF('Carga Vigilador'!C123="","",'Carga Vigilador'!C123)</f>
        <v/>
      </c>
      <c r="D123" s="13" t="str">
        <f aca="false">IF('Carga Vigilador'!D123="","",'Carga Vigilador'!D123)</f>
        <v/>
      </c>
      <c r="E123" s="6" t="str">
        <f aca="false">IF('Carga Vigilador'!E123="","",'Carga Vigilador'!E123)</f>
        <v/>
      </c>
      <c r="F123" s="13" t="str">
        <f aca="false">IF('Carga Vigilador'!F123="","",'Carga Vigilador'!F123)</f>
        <v/>
      </c>
      <c r="G123" s="13" t="str">
        <f aca="false">IF('Carga Vigilador'!G123="","",'Carga Vigilador'!G123)</f>
        <v/>
      </c>
      <c r="H123" s="14"/>
      <c r="I123" s="15"/>
      <c r="J123" s="14"/>
      <c r="K123" s="15"/>
      <c r="L123" s="16"/>
      <c r="M123" s="17"/>
      <c r="N123" s="18" t="str">
        <f aca="false">IF(B123="","",IF(J123="Sí","Multa aplicada",IF(J123="No","Sin multa",IF(H123="Sí","Descargo enviado","Pendiente"))))</f>
        <v/>
      </c>
    </row>
    <row r="124" customFormat="false" ht="15" hidden="false" customHeight="false" outlineLevel="0" collapsed="false">
      <c r="A124" s="6" t="str">
        <f aca="false">IF('Carga Vigilador'!A124="","",'Carga Vigilador'!A124)</f>
        <v/>
      </c>
      <c r="B124" s="11" t="str">
        <f aca="false">IF('Carga Vigilador'!B124="","",'Carga Vigilador'!B124)</f>
        <v/>
      </c>
      <c r="C124" s="12" t="str">
        <f aca="false">IF('Carga Vigilador'!C124="","",'Carga Vigilador'!C124)</f>
        <v/>
      </c>
      <c r="D124" s="13" t="str">
        <f aca="false">IF('Carga Vigilador'!D124="","",'Carga Vigilador'!D124)</f>
        <v/>
      </c>
      <c r="E124" s="6" t="str">
        <f aca="false">IF('Carga Vigilador'!E124="","",'Carga Vigilador'!E124)</f>
        <v/>
      </c>
      <c r="F124" s="13" t="str">
        <f aca="false">IF('Carga Vigilador'!F124="","",'Carga Vigilador'!F124)</f>
        <v/>
      </c>
      <c r="G124" s="13" t="str">
        <f aca="false">IF('Carga Vigilador'!G124="","",'Carga Vigilador'!G124)</f>
        <v/>
      </c>
      <c r="H124" s="14"/>
      <c r="I124" s="15"/>
      <c r="J124" s="14"/>
      <c r="K124" s="15"/>
      <c r="L124" s="16"/>
      <c r="M124" s="17"/>
      <c r="N124" s="18" t="str">
        <f aca="false">IF(B124="","",IF(J124="Sí","Multa aplicada",IF(J124="No","Sin multa",IF(H124="Sí","Descargo enviado","Pendiente"))))</f>
        <v/>
      </c>
    </row>
    <row r="125" customFormat="false" ht="15" hidden="false" customHeight="false" outlineLevel="0" collapsed="false">
      <c r="A125" s="6" t="str">
        <f aca="false">IF('Carga Vigilador'!A125="","",'Carga Vigilador'!A125)</f>
        <v/>
      </c>
      <c r="B125" s="11" t="str">
        <f aca="false">IF('Carga Vigilador'!B125="","",'Carga Vigilador'!B125)</f>
        <v/>
      </c>
      <c r="C125" s="12" t="str">
        <f aca="false">IF('Carga Vigilador'!C125="","",'Carga Vigilador'!C125)</f>
        <v/>
      </c>
      <c r="D125" s="13" t="str">
        <f aca="false">IF('Carga Vigilador'!D125="","",'Carga Vigilador'!D125)</f>
        <v/>
      </c>
      <c r="E125" s="6" t="str">
        <f aca="false">IF('Carga Vigilador'!E125="","",'Carga Vigilador'!E125)</f>
        <v/>
      </c>
      <c r="F125" s="13" t="str">
        <f aca="false">IF('Carga Vigilador'!F125="","",'Carga Vigilador'!F125)</f>
        <v/>
      </c>
      <c r="G125" s="13" t="str">
        <f aca="false">IF('Carga Vigilador'!G125="","",'Carga Vigilador'!G125)</f>
        <v/>
      </c>
      <c r="H125" s="14"/>
      <c r="I125" s="15"/>
      <c r="J125" s="14"/>
      <c r="K125" s="15"/>
      <c r="L125" s="16"/>
      <c r="M125" s="17"/>
      <c r="N125" s="18" t="str">
        <f aca="false">IF(B125="","",IF(J125="Sí","Multa aplicada",IF(J125="No","Sin multa",IF(H125="Sí","Descargo enviado","Pendiente"))))</f>
        <v/>
      </c>
    </row>
    <row r="126" customFormat="false" ht="15" hidden="false" customHeight="false" outlineLevel="0" collapsed="false">
      <c r="A126" s="6" t="str">
        <f aca="false">IF('Carga Vigilador'!A126="","",'Carga Vigilador'!A126)</f>
        <v/>
      </c>
      <c r="B126" s="11" t="str">
        <f aca="false">IF('Carga Vigilador'!B126="","",'Carga Vigilador'!B126)</f>
        <v/>
      </c>
      <c r="C126" s="12" t="str">
        <f aca="false">IF('Carga Vigilador'!C126="","",'Carga Vigilador'!C126)</f>
        <v/>
      </c>
      <c r="D126" s="13" t="str">
        <f aca="false">IF('Carga Vigilador'!D126="","",'Carga Vigilador'!D126)</f>
        <v/>
      </c>
      <c r="E126" s="6" t="str">
        <f aca="false">IF('Carga Vigilador'!E126="","",'Carga Vigilador'!E126)</f>
        <v/>
      </c>
      <c r="F126" s="13" t="str">
        <f aca="false">IF('Carga Vigilador'!F126="","",'Carga Vigilador'!F126)</f>
        <v/>
      </c>
      <c r="G126" s="13" t="str">
        <f aca="false">IF('Carga Vigilador'!G126="","",'Carga Vigilador'!G126)</f>
        <v/>
      </c>
      <c r="H126" s="14"/>
      <c r="I126" s="15"/>
      <c r="J126" s="14"/>
      <c r="K126" s="15"/>
      <c r="L126" s="16"/>
      <c r="M126" s="17"/>
      <c r="N126" s="18" t="str">
        <f aca="false">IF(B126="","",IF(J126="Sí","Multa aplicada",IF(J126="No","Sin multa",IF(H126="Sí","Descargo enviado","Pendiente"))))</f>
        <v/>
      </c>
    </row>
    <row r="127" customFormat="false" ht="15" hidden="false" customHeight="false" outlineLevel="0" collapsed="false">
      <c r="A127" s="6" t="str">
        <f aca="false">IF('Carga Vigilador'!A127="","",'Carga Vigilador'!A127)</f>
        <v/>
      </c>
      <c r="B127" s="11" t="str">
        <f aca="false">IF('Carga Vigilador'!B127="","",'Carga Vigilador'!B127)</f>
        <v/>
      </c>
      <c r="C127" s="12" t="str">
        <f aca="false">IF('Carga Vigilador'!C127="","",'Carga Vigilador'!C127)</f>
        <v/>
      </c>
      <c r="D127" s="13" t="str">
        <f aca="false">IF('Carga Vigilador'!D127="","",'Carga Vigilador'!D127)</f>
        <v/>
      </c>
      <c r="E127" s="6" t="str">
        <f aca="false">IF('Carga Vigilador'!E127="","",'Carga Vigilador'!E127)</f>
        <v/>
      </c>
      <c r="F127" s="13" t="str">
        <f aca="false">IF('Carga Vigilador'!F127="","",'Carga Vigilador'!F127)</f>
        <v/>
      </c>
      <c r="G127" s="13" t="str">
        <f aca="false">IF('Carga Vigilador'!G127="","",'Carga Vigilador'!G127)</f>
        <v/>
      </c>
      <c r="H127" s="14"/>
      <c r="I127" s="15"/>
      <c r="J127" s="14"/>
      <c r="K127" s="15"/>
      <c r="L127" s="16"/>
      <c r="M127" s="17"/>
      <c r="N127" s="18" t="str">
        <f aca="false">IF(B127="","",IF(J127="Sí","Multa aplicada",IF(J127="No","Sin multa",IF(H127="Sí","Descargo enviado","Pendiente"))))</f>
        <v/>
      </c>
    </row>
    <row r="128" customFormat="false" ht="15" hidden="false" customHeight="false" outlineLevel="0" collapsed="false">
      <c r="A128" s="6" t="str">
        <f aca="false">IF('Carga Vigilador'!A128="","",'Carga Vigilador'!A128)</f>
        <v/>
      </c>
      <c r="B128" s="11" t="str">
        <f aca="false">IF('Carga Vigilador'!B128="","",'Carga Vigilador'!B128)</f>
        <v/>
      </c>
      <c r="C128" s="12" t="str">
        <f aca="false">IF('Carga Vigilador'!C128="","",'Carga Vigilador'!C128)</f>
        <v/>
      </c>
      <c r="D128" s="13" t="str">
        <f aca="false">IF('Carga Vigilador'!D128="","",'Carga Vigilador'!D128)</f>
        <v/>
      </c>
      <c r="E128" s="6" t="str">
        <f aca="false">IF('Carga Vigilador'!E128="","",'Carga Vigilador'!E128)</f>
        <v/>
      </c>
      <c r="F128" s="13" t="str">
        <f aca="false">IF('Carga Vigilador'!F128="","",'Carga Vigilador'!F128)</f>
        <v/>
      </c>
      <c r="G128" s="13" t="str">
        <f aca="false">IF('Carga Vigilador'!G128="","",'Carga Vigilador'!G128)</f>
        <v/>
      </c>
      <c r="H128" s="14"/>
      <c r="I128" s="15"/>
      <c r="J128" s="14"/>
      <c r="K128" s="15"/>
      <c r="L128" s="16"/>
      <c r="M128" s="17"/>
      <c r="N128" s="18" t="str">
        <f aca="false">IF(B128="","",IF(J128="Sí","Multa aplicada",IF(J128="No","Sin multa",IF(H128="Sí","Descargo enviado","Pendiente"))))</f>
        <v/>
      </c>
    </row>
    <row r="129" customFormat="false" ht="15" hidden="false" customHeight="false" outlineLevel="0" collapsed="false">
      <c r="A129" s="6" t="str">
        <f aca="false">IF('Carga Vigilador'!A129="","",'Carga Vigilador'!A129)</f>
        <v/>
      </c>
      <c r="B129" s="11" t="str">
        <f aca="false">IF('Carga Vigilador'!B129="","",'Carga Vigilador'!B129)</f>
        <v/>
      </c>
      <c r="C129" s="12" t="str">
        <f aca="false">IF('Carga Vigilador'!C129="","",'Carga Vigilador'!C129)</f>
        <v/>
      </c>
      <c r="D129" s="13" t="str">
        <f aca="false">IF('Carga Vigilador'!D129="","",'Carga Vigilador'!D129)</f>
        <v/>
      </c>
      <c r="E129" s="6" t="str">
        <f aca="false">IF('Carga Vigilador'!E129="","",'Carga Vigilador'!E129)</f>
        <v/>
      </c>
      <c r="F129" s="13" t="str">
        <f aca="false">IF('Carga Vigilador'!F129="","",'Carga Vigilador'!F129)</f>
        <v/>
      </c>
      <c r="G129" s="13" t="str">
        <f aca="false">IF('Carga Vigilador'!G129="","",'Carga Vigilador'!G129)</f>
        <v/>
      </c>
      <c r="H129" s="14"/>
      <c r="I129" s="15"/>
      <c r="J129" s="14"/>
      <c r="K129" s="15"/>
      <c r="L129" s="16"/>
      <c r="M129" s="17"/>
      <c r="N129" s="18" t="str">
        <f aca="false">IF(B129="","",IF(J129="Sí","Multa aplicada",IF(J129="No","Sin multa",IF(H129="Sí","Descargo enviado","Pendiente"))))</f>
        <v/>
      </c>
    </row>
    <row r="130" customFormat="false" ht="15" hidden="false" customHeight="false" outlineLevel="0" collapsed="false">
      <c r="A130" s="6" t="str">
        <f aca="false">IF('Carga Vigilador'!A130="","",'Carga Vigilador'!A130)</f>
        <v/>
      </c>
      <c r="B130" s="11" t="str">
        <f aca="false">IF('Carga Vigilador'!B130="","",'Carga Vigilador'!B130)</f>
        <v/>
      </c>
      <c r="C130" s="12" t="str">
        <f aca="false">IF('Carga Vigilador'!C130="","",'Carga Vigilador'!C130)</f>
        <v/>
      </c>
      <c r="D130" s="13" t="str">
        <f aca="false">IF('Carga Vigilador'!D130="","",'Carga Vigilador'!D130)</f>
        <v/>
      </c>
      <c r="E130" s="6" t="str">
        <f aca="false">IF('Carga Vigilador'!E130="","",'Carga Vigilador'!E130)</f>
        <v/>
      </c>
      <c r="F130" s="13" t="str">
        <f aca="false">IF('Carga Vigilador'!F130="","",'Carga Vigilador'!F130)</f>
        <v/>
      </c>
      <c r="G130" s="13" t="str">
        <f aca="false">IF('Carga Vigilador'!G130="","",'Carga Vigilador'!G130)</f>
        <v/>
      </c>
      <c r="H130" s="14"/>
      <c r="I130" s="15"/>
      <c r="J130" s="14"/>
      <c r="K130" s="15"/>
      <c r="L130" s="16"/>
      <c r="M130" s="17"/>
      <c r="N130" s="18" t="str">
        <f aca="false">IF(B130="","",IF(J130="Sí","Multa aplicada",IF(J130="No","Sin multa",IF(H130="Sí","Descargo enviado","Pendiente"))))</f>
        <v/>
      </c>
    </row>
    <row r="131" customFormat="false" ht="15" hidden="false" customHeight="false" outlineLevel="0" collapsed="false">
      <c r="A131" s="6" t="str">
        <f aca="false">IF('Carga Vigilador'!A131="","",'Carga Vigilador'!A131)</f>
        <v/>
      </c>
      <c r="B131" s="11" t="str">
        <f aca="false">IF('Carga Vigilador'!B131="","",'Carga Vigilador'!B131)</f>
        <v/>
      </c>
      <c r="C131" s="12" t="str">
        <f aca="false">IF('Carga Vigilador'!C131="","",'Carga Vigilador'!C131)</f>
        <v/>
      </c>
      <c r="D131" s="13" t="str">
        <f aca="false">IF('Carga Vigilador'!D131="","",'Carga Vigilador'!D131)</f>
        <v/>
      </c>
      <c r="E131" s="6" t="str">
        <f aca="false">IF('Carga Vigilador'!E131="","",'Carga Vigilador'!E131)</f>
        <v/>
      </c>
      <c r="F131" s="13" t="str">
        <f aca="false">IF('Carga Vigilador'!F131="","",'Carga Vigilador'!F131)</f>
        <v/>
      </c>
      <c r="G131" s="13" t="str">
        <f aca="false">IF('Carga Vigilador'!G131="","",'Carga Vigilador'!G131)</f>
        <v/>
      </c>
      <c r="H131" s="14"/>
      <c r="I131" s="15"/>
      <c r="J131" s="14"/>
      <c r="K131" s="15"/>
      <c r="L131" s="16"/>
      <c r="M131" s="17"/>
      <c r="N131" s="18" t="str">
        <f aca="false">IF(B131="","",IF(J131="Sí","Multa aplicada",IF(J131="No","Sin multa",IF(H131="Sí","Descargo enviado","Pendiente"))))</f>
        <v/>
      </c>
    </row>
    <row r="132" customFormat="false" ht="15" hidden="false" customHeight="false" outlineLevel="0" collapsed="false">
      <c r="A132" s="6" t="str">
        <f aca="false">IF('Carga Vigilador'!A132="","",'Carga Vigilador'!A132)</f>
        <v/>
      </c>
      <c r="B132" s="11" t="str">
        <f aca="false">IF('Carga Vigilador'!B132="","",'Carga Vigilador'!B132)</f>
        <v/>
      </c>
      <c r="C132" s="12" t="str">
        <f aca="false">IF('Carga Vigilador'!C132="","",'Carga Vigilador'!C132)</f>
        <v/>
      </c>
      <c r="D132" s="13" t="str">
        <f aca="false">IF('Carga Vigilador'!D132="","",'Carga Vigilador'!D132)</f>
        <v/>
      </c>
      <c r="E132" s="6" t="str">
        <f aca="false">IF('Carga Vigilador'!E132="","",'Carga Vigilador'!E132)</f>
        <v/>
      </c>
      <c r="F132" s="13" t="str">
        <f aca="false">IF('Carga Vigilador'!F132="","",'Carga Vigilador'!F132)</f>
        <v/>
      </c>
      <c r="G132" s="13" t="str">
        <f aca="false">IF('Carga Vigilador'!G132="","",'Carga Vigilador'!G132)</f>
        <v/>
      </c>
      <c r="H132" s="14"/>
      <c r="I132" s="15"/>
      <c r="J132" s="14"/>
      <c r="K132" s="15"/>
      <c r="L132" s="16"/>
      <c r="M132" s="17"/>
      <c r="N132" s="18" t="str">
        <f aca="false">IF(B132="","",IF(J132="Sí","Multa aplicada",IF(J132="No","Sin multa",IF(H132="Sí","Descargo enviado","Pendiente"))))</f>
        <v/>
      </c>
    </row>
    <row r="133" customFormat="false" ht="15" hidden="false" customHeight="false" outlineLevel="0" collapsed="false">
      <c r="A133" s="6" t="str">
        <f aca="false">IF('Carga Vigilador'!A133="","",'Carga Vigilador'!A133)</f>
        <v/>
      </c>
      <c r="B133" s="11" t="str">
        <f aca="false">IF('Carga Vigilador'!B133="","",'Carga Vigilador'!B133)</f>
        <v/>
      </c>
      <c r="C133" s="12" t="str">
        <f aca="false">IF('Carga Vigilador'!C133="","",'Carga Vigilador'!C133)</f>
        <v/>
      </c>
      <c r="D133" s="13" t="str">
        <f aca="false">IF('Carga Vigilador'!D133="","",'Carga Vigilador'!D133)</f>
        <v/>
      </c>
      <c r="E133" s="6" t="str">
        <f aca="false">IF('Carga Vigilador'!E133="","",'Carga Vigilador'!E133)</f>
        <v/>
      </c>
      <c r="F133" s="13" t="str">
        <f aca="false">IF('Carga Vigilador'!F133="","",'Carga Vigilador'!F133)</f>
        <v/>
      </c>
      <c r="G133" s="13" t="str">
        <f aca="false">IF('Carga Vigilador'!G133="","",'Carga Vigilador'!G133)</f>
        <v/>
      </c>
      <c r="H133" s="14"/>
      <c r="I133" s="15"/>
      <c r="J133" s="14"/>
      <c r="K133" s="15"/>
      <c r="L133" s="16"/>
      <c r="M133" s="17"/>
      <c r="N133" s="18" t="str">
        <f aca="false">IF(B133="","",IF(J133="Sí","Multa aplicada",IF(J133="No","Sin multa",IF(H133="Sí","Descargo enviado","Pendiente"))))</f>
        <v/>
      </c>
    </row>
    <row r="134" customFormat="false" ht="15" hidden="false" customHeight="false" outlineLevel="0" collapsed="false">
      <c r="A134" s="6" t="str">
        <f aca="false">IF('Carga Vigilador'!A134="","",'Carga Vigilador'!A134)</f>
        <v/>
      </c>
      <c r="B134" s="11" t="str">
        <f aca="false">IF('Carga Vigilador'!B134="","",'Carga Vigilador'!B134)</f>
        <v/>
      </c>
      <c r="C134" s="12" t="str">
        <f aca="false">IF('Carga Vigilador'!C134="","",'Carga Vigilador'!C134)</f>
        <v/>
      </c>
      <c r="D134" s="13" t="str">
        <f aca="false">IF('Carga Vigilador'!D134="","",'Carga Vigilador'!D134)</f>
        <v/>
      </c>
      <c r="E134" s="6" t="str">
        <f aca="false">IF('Carga Vigilador'!E134="","",'Carga Vigilador'!E134)</f>
        <v/>
      </c>
      <c r="F134" s="13" t="str">
        <f aca="false">IF('Carga Vigilador'!F134="","",'Carga Vigilador'!F134)</f>
        <v/>
      </c>
      <c r="G134" s="13" t="str">
        <f aca="false">IF('Carga Vigilador'!G134="","",'Carga Vigilador'!G134)</f>
        <v/>
      </c>
      <c r="H134" s="14"/>
      <c r="I134" s="15"/>
      <c r="J134" s="14"/>
      <c r="K134" s="15"/>
      <c r="L134" s="16"/>
      <c r="M134" s="17"/>
      <c r="N134" s="18" t="str">
        <f aca="false">IF(B134="","",IF(J134="Sí","Multa aplicada",IF(J134="No","Sin multa",IF(H134="Sí","Descargo enviado","Pendiente"))))</f>
        <v/>
      </c>
    </row>
    <row r="135" customFormat="false" ht="15" hidden="false" customHeight="false" outlineLevel="0" collapsed="false">
      <c r="A135" s="6" t="str">
        <f aca="false">IF('Carga Vigilador'!A135="","",'Carga Vigilador'!A135)</f>
        <v/>
      </c>
      <c r="B135" s="11" t="str">
        <f aca="false">IF('Carga Vigilador'!B135="","",'Carga Vigilador'!B135)</f>
        <v/>
      </c>
      <c r="C135" s="12" t="str">
        <f aca="false">IF('Carga Vigilador'!C135="","",'Carga Vigilador'!C135)</f>
        <v/>
      </c>
      <c r="D135" s="13" t="str">
        <f aca="false">IF('Carga Vigilador'!D135="","",'Carga Vigilador'!D135)</f>
        <v/>
      </c>
      <c r="E135" s="6" t="str">
        <f aca="false">IF('Carga Vigilador'!E135="","",'Carga Vigilador'!E135)</f>
        <v/>
      </c>
      <c r="F135" s="13" t="str">
        <f aca="false">IF('Carga Vigilador'!F135="","",'Carga Vigilador'!F135)</f>
        <v/>
      </c>
      <c r="G135" s="13" t="str">
        <f aca="false">IF('Carga Vigilador'!G135="","",'Carga Vigilador'!G135)</f>
        <v/>
      </c>
      <c r="H135" s="14"/>
      <c r="I135" s="15"/>
      <c r="J135" s="14"/>
      <c r="K135" s="15"/>
      <c r="L135" s="16"/>
      <c r="M135" s="17"/>
      <c r="N135" s="18" t="str">
        <f aca="false">IF(B135="","",IF(J135="Sí","Multa aplicada",IF(J135="No","Sin multa",IF(H135="Sí","Descargo enviado","Pendiente"))))</f>
        <v/>
      </c>
    </row>
    <row r="136" customFormat="false" ht="15" hidden="false" customHeight="false" outlineLevel="0" collapsed="false">
      <c r="A136" s="6" t="str">
        <f aca="false">IF('Carga Vigilador'!A136="","",'Carga Vigilador'!A136)</f>
        <v/>
      </c>
      <c r="B136" s="11" t="str">
        <f aca="false">IF('Carga Vigilador'!B136="","",'Carga Vigilador'!B136)</f>
        <v/>
      </c>
      <c r="C136" s="12" t="str">
        <f aca="false">IF('Carga Vigilador'!C136="","",'Carga Vigilador'!C136)</f>
        <v/>
      </c>
      <c r="D136" s="13" t="str">
        <f aca="false">IF('Carga Vigilador'!D136="","",'Carga Vigilador'!D136)</f>
        <v/>
      </c>
      <c r="E136" s="6" t="str">
        <f aca="false">IF('Carga Vigilador'!E136="","",'Carga Vigilador'!E136)</f>
        <v/>
      </c>
      <c r="F136" s="13" t="str">
        <f aca="false">IF('Carga Vigilador'!F136="","",'Carga Vigilador'!F136)</f>
        <v/>
      </c>
      <c r="G136" s="13" t="str">
        <f aca="false">IF('Carga Vigilador'!G136="","",'Carga Vigilador'!G136)</f>
        <v/>
      </c>
      <c r="H136" s="14"/>
      <c r="I136" s="15"/>
      <c r="J136" s="14"/>
      <c r="K136" s="15"/>
      <c r="L136" s="16"/>
      <c r="M136" s="17"/>
      <c r="N136" s="18" t="str">
        <f aca="false">IF(B136="","",IF(J136="Sí","Multa aplicada",IF(J136="No","Sin multa",IF(H136="Sí","Descargo enviado","Pendiente"))))</f>
        <v/>
      </c>
    </row>
    <row r="137" customFormat="false" ht="15" hidden="false" customHeight="false" outlineLevel="0" collapsed="false">
      <c r="A137" s="6" t="str">
        <f aca="false">IF('Carga Vigilador'!A137="","",'Carga Vigilador'!A137)</f>
        <v/>
      </c>
      <c r="B137" s="11" t="str">
        <f aca="false">IF('Carga Vigilador'!B137="","",'Carga Vigilador'!B137)</f>
        <v/>
      </c>
      <c r="C137" s="12" t="str">
        <f aca="false">IF('Carga Vigilador'!C137="","",'Carga Vigilador'!C137)</f>
        <v/>
      </c>
      <c r="D137" s="13" t="str">
        <f aca="false">IF('Carga Vigilador'!D137="","",'Carga Vigilador'!D137)</f>
        <v/>
      </c>
      <c r="E137" s="6" t="str">
        <f aca="false">IF('Carga Vigilador'!E137="","",'Carga Vigilador'!E137)</f>
        <v/>
      </c>
      <c r="F137" s="13" t="str">
        <f aca="false">IF('Carga Vigilador'!F137="","",'Carga Vigilador'!F137)</f>
        <v/>
      </c>
      <c r="G137" s="13" t="str">
        <f aca="false">IF('Carga Vigilador'!G137="","",'Carga Vigilador'!G137)</f>
        <v/>
      </c>
      <c r="H137" s="14"/>
      <c r="I137" s="15"/>
      <c r="J137" s="14"/>
      <c r="K137" s="15"/>
      <c r="L137" s="16"/>
      <c r="M137" s="17"/>
      <c r="N137" s="18" t="str">
        <f aca="false">IF(B137="","",IF(J137="Sí","Multa aplicada",IF(J137="No","Sin multa",IF(H137="Sí","Descargo enviado","Pendiente"))))</f>
        <v/>
      </c>
    </row>
    <row r="138" customFormat="false" ht="15" hidden="false" customHeight="false" outlineLevel="0" collapsed="false">
      <c r="A138" s="6" t="str">
        <f aca="false">IF('Carga Vigilador'!A138="","",'Carga Vigilador'!A138)</f>
        <v/>
      </c>
      <c r="B138" s="11" t="str">
        <f aca="false">IF('Carga Vigilador'!B138="","",'Carga Vigilador'!B138)</f>
        <v/>
      </c>
      <c r="C138" s="12" t="str">
        <f aca="false">IF('Carga Vigilador'!C138="","",'Carga Vigilador'!C138)</f>
        <v/>
      </c>
      <c r="D138" s="13" t="str">
        <f aca="false">IF('Carga Vigilador'!D138="","",'Carga Vigilador'!D138)</f>
        <v/>
      </c>
      <c r="E138" s="6" t="str">
        <f aca="false">IF('Carga Vigilador'!E138="","",'Carga Vigilador'!E138)</f>
        <v/>
      </c>
      <c r="F138" s="13" t="str">
        <f aca="false">IF('Carga Vigilador'!F138="","",'Carga Vigilador'!F138)</f>
        <v/>
      </c>
      <c r="G138" s="13" t="str">
        <f aca="false">IF('Carga Vigilador'!G138="","",'Carga Vigilador'!G138)</f>
        <v/>
      </c>
      <c r="H138" s="14"/>
      <c r="I138" s="15"/>
      <c r="J138" s="14"/>
      <c r="K138" s="15"/>
      <c r="L138" s="16"/>
      <c r="M138" s="17"/>
      <c r="N138" s="18" t="str">
        <f aca="false">IF(B138="","",IF(J138="Sí","Multa aplicada",IF(J138="No","Sin multa",IF(H138="Sí","Descargo enviado","Pendiente"))))</f>
        <v/>
      </c>
    </row>
    <row r="139" customFormat="false" ht="15" hidden="false" customHeight="false" outlineLevel="0" collapsed="false">
      <c r="A139" s="6" t="str">
        <f aca="false">IF('Carga Vigilador'!A139="","",'Carga Vigilador'!A139)</f>
        <v/>
      </c>
      <c r="B139" s="11" t="str">
        <f aca="false">IF('Carga Vigilador'!B139="","",'Carga Vigilador'!B139)</f>
        <v/>
      </c>
      <c r="C139" s="12" t="str">
        <f aca="false">IF('Carga Vigilador'!C139="","",'Carga Vigilador'!C139)</f>
        <v/>
      </c>
      <c r="D139" s="13" t="str">
        <f aca="false">IF('Carga Vigilador'!D139="","",'Carga Vigilador'!D139)</f>
        <v/>
      </c>
      <c r="E139" s="6" t="str">
        <f aca="false">IF('Carga Vigilador'!E139="","",'Carga Vigilador'!E139)</f>
        <v/>
      </c>
      <c r="F139" s="13" t="str">
        <f aca="false">IF('Carga Vigilador'!F139="","",'Carga Vigilador'!F139)</f>
        <v/>
      </c>
      <c r="G139" s="13" t="str">
        <f aca="false">IF('Carga Vigilador'!G139="","",'Carga Vigilador'!G139)</f>
        <v/>
      </c>
      <c r="H139" s="14"/>
      <c r="I139" s="15"/>
      <c r="J139" s="14"/>
      <c r="K139" s="15"/>
      <c r="L139" s="16"/>
      <c r="M139" s="17"/>
      <c r="N139" s="18" t="str">
        <f aca="false">IF(B139="","",IF(J139="Sí","Multa aplicada",IF(J139="No","Sin multa",IF(H139="Sí","Descargo enviado","Pendiente"))))</f>
        <v/>
      </c>
    </row>
    <row r="140" customFormat="false" ht="15" hidden="false" customHeight="false" outlineLevel="0" collapsed="false">
      <c r="A140" s="6" t="str">
        <f aca="false">IF('Carga Vigilador'!A140="","",'Carga Vigilador'!A140)</f>
        <v/>
      </c>
      <c r="B140" s="11" t="str">
        <f aca="false">IF('Carga Vigilador'!B140="","",'Carga Vigilador'!B140)</f>
        <v/>
      </c>
      <c r="C140" s="12" t="str">
        <f aca="false">IF('Carga Vigilador'!C140="","",'Carga Vigilador'!C140)</f>
        <v/>
      </c>
      <c r="D140" s="13" t="str">
        <f aca="false">IF('Carga Vigilador'!D140="","",'Carga Vigilador'!D140)</f>
        <v/>
      </c>
      <c r="E140" s="6" t="str">
        <f aca="false">IF('Carga Vigilador'!E140="","",'Carga Vigilador'!E140)</f>
        <v/>
      </c>
      <c r="F140" s="13" t="str">
        <f aca="false">IF('Carga Vigilador'!F140="","",'Carga Vigilador'!F140)</f>
        <v/>
      </c>
      <c r="G140" s="13" t="str">
        <f aca="false">IF('Carga Vigilador'!G140="","",'Carga Vigilador'!G140)</f>
        <v/>
      </c>
      <c r="H140" s="14"/>
      <c r="I140" s="15"/>
      <c r="J140" s="14"/>
      <c r="K140" s="15"/>
      <c r="L140" s="16"/>
      <c r="M140" s="17"/>
      <c r="N140" s="18" t="str">
        <f aca="false">IF(B140="","",IF(J140="Sí","Multa aplicada",IF(J140="No","Sin multa",IF(H140="Sí","Descargo enviado","Pendiente"))))</f>
        <v/>
      </c>
    </row>
    <row r="141" customFormat="false" ht="15" hidden="false" customHeight="false" outlineLevel="0" collapsed="false">
      <c r="A141" s="6" t="str">
        <f aca="false">IF('Carga Vigilador'!A141="","",'Carga Vigilador'!A141)</f>
        <v/>
      </c>
      <c r="B141" s="11" t="str">
        <f aca="false">IF('Carga Vigilador'!B141="","",'Carga Vigilador'!B141)</f>
        <v/>
      </c>
      <c r="C141" s="12" t="str">
        <f aca="false">IF('Carga Vigilador'!C141="","",'Carga Vigilador'!C141)</f>
        <v/>
      </c>
      <c r="D141" s="13" t="str">
        <f aca="false">IF('Carga Vigilador'!D141="","",'Carga Vigilador'!D141)</f>
        <v/>
      </c>
      <c r="E141" s="6" t="str">
        <f aca="false">IF('Carga Vigilador'!E141="","",'Carga Vigilador'!E141)</f>
        <v/>
      </c>
      <c r="F141" s="13" t="str">
        <f aca="false">IF('Carga Vigilador'!F141="","",'Carga Vigilador'!F141)</f>
        <v/>
      </c>
      <c r="G141" s="13" t="str">
        <f aca="false">IF('Carga Vigilador'!G141="","",'Carga Vigilador'!G141)</f>
        <v/>
      </c>
      <c r="H141" s="14"/>
      <c r="I141" s="15"/>
      <c r="J141" s="14"/>
      <c r="K141" s="15"/>
      <c r="L141" s="16"/>
      <c r="M141" s="17"/>
      <c r="N141" s="18" t="str">
        <f aca="false">IF(B141="","",IF(J141="Sí","Multa aplicada",IF(J141="No","Sin multa",IF(H141="Sí","Descargo enviado","Pendiente"))))</f>
        <v/>
      </c>
    </row>
    <row r="142" customFormat="false" ht="15" hidden="false" customHeight="false" outlineLevel="0" collapsed="false">
      <c r="A142" s="6" t="str">
        <f aca="false">IF('Carga Vigilador'!A142="","",'Carga Vigilador'!A142)</f>
        <v/>
      </c>
      <c r="B142" s="11" t="str">
        <f aca="false">IF('Carga Vigilador'!B142="","",'Carga Vigilador'!B142)</f>
        <v/>
      </c>
      <c r="C142" s="12" t="str">
        <f aca="false">IF('Carga Vigilador'!C142="","",'Carga Vigilador'!C142)</f>
        <v/>
      </c>
      <c r="D142" s="13" t="str">
        <f aca="false">IF('Carga Vigilador'!D142="","",'Carga Vigilador'!D142)</f>
        <v/>
      </c>
      <c r="E142" s="6" t="str">
        <f aca="false">IF('Carga Vigilador'!E142="","",'Carga Vigilador'!E142)</f>
        <v/>
      </c>
      <c r="F142" s="13" t="str">
        <f aca="false">IF('Carga Vigilador'!F142="","",'Carga Vigilador'!F142)</f>
        <v/>
      </c>
      <c r="G142" s="13" t="str">
        <f aca="false">IF('Carga Vigilador'!G142="","",'Carga Vigilador'!G142)</f>
        <v/>
      </c>
      <c r="H142" s="14"/>
      <c r="I142" s="15"/>
      <c r="J142" s="14"/>
      <c r="K142" s="15"/>
      <c r="L142" s="16"/>
      <c r="M142" s="17"/>
      <c r="N142" s="18" t="str">
        <f aca="false">IF(B142="","",IF(J142="Sí","Multa aplicada",IF(J142="No","Sin multa",IF(H142="Sí","Descargo enviado","Pendiente"))))</f>
        <v/>
      </c>
    </row>
    <row r="143" customFormat="false" ht="15" hidden="false" customHeight="false" outlineLevel="0" collapsed="false">
      <c r="A143" s="6" t="str">
        <f aca="false">IF('Carga Vigilador'!A143="","",'Carga Vigilador'!A143)</f>
        <v/>
      </c>
      <c r="B143" s="11" t="str">
        <f aca="false">IF('Carga Vigilador'!B143="","",'Carga Vigilador'!B143)</f>
        <v/>
      </c>
      <c r="C143" s="12" t="str">
        <f aca="false">IF('Carga Vigilador'!C143="","",'Carga Vigilador'!C143)</f>
        <v/>
      </c>
      <c r="D143" s="13" t="str">
        <f aca="false">IF('Carga Vigilador'!D143="","",'Carga Vigilador'!D143)</f>
        <v/>
      </c>
      <c r="E143" s="6" t="str">
        <f aca="false">IF('Carga Vigilador'!E143="","",'Carga Vigilador'!E143)</f>
        <v/>
      </c>
      <c r="F143" s="13" t="str">
        <f aca="false">IF('Carga Vigilador'!F143="","",'Carga Vigilador'!F143)</f>
        <v/>
      </c>
      <c r="G143" s="13" t="str">
        <f aca="false">IF('Carga Vigilador'!G143="","",'Carga Vigilador'!G143)</f>
        <v/>
      </c>
      <c r="H143" s="14"/>
      <c r="I143" s="15"/>
      <c r="J143" s="14"/>
      <c r="K143" s="15"/>
      <c r="L143" s="16"/>
      <c r="M143" s="17"/>
      <c r="N143" s="18" t="str">
        <f aca="false">IF(B143="","",IF(J143="Sí","Multa aplicada",IF(J143="No","Sin multa",IF(H143="Sí","Descargo enviado","Pendiente"))))</f>
        <v/>
      </c>
    </row>
    <row r="144" customFormat="false" ht="15" hidden="false" customHeight="false" outlineLevel="0" collapsed="false">
      <c r="A144" s="6" t="str">
        <f aca="false">IF('Carga Vigilador'!A144="","",'Carga Vigilador'!A144)</f>
        <v/>
      </c>
      <c r="B144" s="11" t="str">
        <f aca="false">IF('Carga Vigilador'!B144="","",'Carga Vigilador'!B144)</f>
        <v/>
      </c>
      <c r="C144" s="12" t="str">
        <f aca="false">IF('Carga Vigilador'!C144="","",'Carga Vigilador'!C144)</f>
        <v/>
      </c>
      <c r="D144" s="13" t="str">
        <f aca="false">IF('Carga Vigilador'!D144="","",'Carga Vigilador'!D144)</f>
        <v/>
      </c>
      <c r="E144" s="6" t="str">
        <f aca="false">IF('Carga Vigilador'!E144="","",'Carga Vigilador'!E144)</f>
        <v/>
      </c>
      <c r="F144" s="13" t="str">
        <f aca="false">IF('Carga Vigilador'!F144="","",'Carga Vigilador'!F144)</f>
        <v/>
      </c>
      <c r="G144" s="13" t="str">
        <f aca="false">IF('Carga Vigilador'!G144="","",'Carga Vigilador'!G144)</f>
        <v/>
      </c>
      <c r="H144" s="14"/>
      <c r="I144" s="15"/>
      <c r="J144" s="14"/>
      <c r="K144" s="15"/>
      <c r="L144" s="16"/>
      <c r="M144" s="17"/>
      <c r="N144" s="18" t="str">
        <f aca="false">IF(B144="","",IF(J144="Sí","Multa aplicada",IF(J144="No","Sin multa",IF(H144="Sí","Descargo enviado","Pendiente"))))</f>
        <v/>
      </c>
    </row>
    <row r="145" customFormat="false" ht="15" hidden="false" customHeight="false" outlineLevel="0" collapsed="false">
      <c r="A145" s="6" t="str">
        <f aca="false">IF('Carga Vigilador'!A145="","",'Carga Vigilador'!A145)</f>
        <v/>
      </c>
      <c r="B145" s="11" t="str">
        <f aca="false">IF('Carga Vigilador'!B145="","",'Carga Vigilador'!B145)</f>
        <v/>
      </c>
      <c r="C145" s="12" t="str">
        <f aca="false">IF('Carga Vigilador'!C145="","",'Carga Vigilador'!C145)</f>
        <v/>
      </c>
      <c r="D145" s="13" t="str">
        <f aca="false">IF('Carga Vigilador'!D145="","",'Carga Vigilador'!D145)</f>
        <v/>
      </c>
      <c r="E145" s="6" t="str">
        <f aca="false">IF('Carga Vigilador'!E145="","",'Carga Vigilador'!E145)</f>
        <v/>
      </c>
      <c r="F145" s="13" t="str">
        <f aca="false">IF('Carga Vigilador'!F145="","",'Carga Vigilador'!F145)</f>
        <v/>
      </c>
      <c r="G145" s="13" t="str">
        <f aca="false">IF('Carga Vigilador'!G145="","",'Carga Vigilador'!G145)</f>
        <v/>
      </c>
      <c r="H145" s="14"/>
      <c r="I145" s="15"/>
      <c r="J145" s="14"/>
      <c r="K145" s="15"/>
      <c r="L145" s="16"/>
      <c r="M145" s="17"/>
      <c r="N145" s="18" t="str">
        <f aca="false">IF(B145="","",IF(J145="Sí","Multa aplicada",IF(J145="No","Sin multa",IF(H145="Sí","Descargo enviado","Pendiente"))))</f>
        <v/>
      </c>
    </row>
    <row r="146" customFormat="false" ht="15" hidden="false" customHeight="false" outlineLevel="0" collapsed="false">
      <c r="A146" s="6" t="str">
        <f aca="false">IF('Carga Vigilador'!A146="","",'Carga Vigilador'!A146)</f>
        <v/>
      </c>
      <c r="B146" s="11" t="str">
        <f aca="false">IF('Carga Vigilador'!B146="","",'Carga Vigilador'!B146)</f>
        <v/>
      </c>
      <c r="C146" s="12" t="str">
        <f aca="false">IF('Carga Vigilador'!C146="","",'Carga Vigilador'!C146)</f>
        <v/>
      </c>
      <c r="D146" s="13" t="str">
        <f aca="false">IF('Carga Vigilador'!D146="","",'Carga Vigilador'!D146)</f>
        <v/>
      </c>
      <c r="E146" s="6" t="str">
        <f aca="false">IF('Carga Vigilador'!E146="","",'Carga Vigilador'!E146)</f>
        <v/>
      </c>
      <c r="F146" s="13" t="str">
        <f aca="false">IF('Carga Vigilador'!F146="","",'Carga Vigilador'!F146)</f>
        <v/>
      </c>
      <c r="G146" s="13" t="str">
        <f aca="false">IF('Carga Vigilador'!G146="","",'Carga Vigilador'!G146)</f>
        <v/>
      </c>
      <c r="H146" s="14"/>
      <c r="I146" s="15"/>
      <c r="J146" s="14"/>
      <c r="K146" s="15"/>
      <c r="L146" s="16"/>
      <c r="M146" s="17"/>
      <c r="N146" s="18" t="str">
        <f aca="false">IF(B146="","",IF(J146="Sí","Multa aplicada",IF(J146="No","Sin multa",IF(H146="Sí","Descargo enviado","Pendiente"))))</f>
        <v/>
      </c>
    </row>
    <row r="147" customFormat="false" ht="15" hidden="false" customHeight="false" outlineLevel="0" collapsed="false">
      <c r="A147" s="6" t="str">
        <f aca="false">IF('Carga Vigilador'!A147="","",'Carga Vigilador'!A147)</f>
        <v/>
      </c>
      <c r="B147" s="11" t="str">
        <f aca="false">IF('Carga Vigilador'!B147="","",'Carga Vigilador'!B147)</f>
        <v/>
      </c>
      <c r="C147" s="12" t="str">
        <f aca="false">IF('Carga Vigilador'!C147="","",'Carga Vigilador'!C147)</f>
        <v/>
      </c>
      <c r="D147" s="13" t="str">
        <f aca="false">IF('Carga Vigilador'!D147="","",'Carga Vigilador'!D147)</f>
        <v/>
      </c>
      <c r="E147" s="6" t="str">
        <f aca="false">IF('Carga Vigilador'!E147="","",'Carga Vigilador'!E147)</f>
        <v/>
      </c>
      <c r="F147" s="13" t="str">
        <f aca="false">IF('Carga Vigilador'!F147="","",'Carga Vigilador'!F147)</f>
        <v/>
      </c>
      <c r="G147" s="13" t="str">
        <f aca="false">IF('Carga Vigilador'!G147="","",'Carga Vigilador'!G147)</f>
        <v/>
      </c>
      <c r="H147" s="14"/>
      <c r="I147" s="15"/>
      <c r="J147" s="14"/>
      <c r="K147" s="15"/>
      <c r="L147" s="16"/>
      <c r="M147" s="17"/>
      <c r="N147" s="18" t="str">
        <f aca="false">IF(B147="","",IF(J147="Sí","Multa aplicada",IF(J147="No","Sin multa",IF(H147="Sí","Descargo enviado","Pendiente"))))</f>
        <v/>
      </c>
    </row>
    <row r="148" customFormat="false" ht="15" hidden="false" customHeight="false" outlineLevel="0" collapsed="false">
      <c r="A148" s="6" t="str">
        <f aca="false">IF('Carga Vigilador'!A148="","",'Carga Vigilador'!A148)</f>
        <v/>
      </c>
      <c r="B148" s="11" t="str">
        <f aca="false">IF('Carga Vigilador'!B148="","",'Carga Vigilador'!B148)</f>
        <v/>
      </c>
      <c r="C148" s="12" t="str">
        <f aca="false">IF('Carga Vigilador'!C148="","",'Carga Vigilador'!C148)</f>
        <v/>
      </c>
      <c r="D148" s="13" t="str">
        <f aca="false">IF('Carga Vigilador'!D148="","",'Carga Vigilador'!D148)</f>
        <v/>
      </c>
      <c r="E148" s="6" t="str">
        <f aca="false">IF('Carga Vigilador'!E148="","",'Carga Vigilador'!E148)</f>
        <v/>
      </c>
      <c r="F148" s="13" t="str">
        <f aca="false">IF('Carga Vigilador'!F148="","",'Carga Vigilador'!F148)</f>
        <v/>
      </c>
      <c r="G148" s="13" t="str">
        <f aca="false">IF('Carga Vigilador'!G148="","",'Carga Vigilador'!G148)</f>
        <v/>
      </c>
      <c r="H148" s="14"/>
      <c r="I148" s="15"/>
      <c r="J148" s="14"/>
      <c r="K148" s="15"/>
      <c r="L148" s="16"/>
      <c r="M148" s="17"/>
      <c r="N148" s="18" t="str">
        <f aca="false">IF(B148="","",IF(J148="Sí","Multa aplicada",IF(J148="No","Sin multa",IF(H148="Sí","Descargo enviado","Pendiente"))))</f>
        <v/>
      </c>
    </row>
    <row r="149" customFormat="false" ht="15" hidden="false" customHeight="false" outlineLevel="0" collapsed="false">
      <c r="A149" s="6" t="str">
        <f aca="false">IF('Carga Vigilador'!A149="","",'Carga Vigilador'!A149)</f>
        <v/>
      </c>
      <c r="B149" s="11" t="str">
        <f aca="false">IF('Carga Vigilador'!B149="","",'Carga Vigilador'!B149)</f>
        <v/>
      </c>
      <c r="C149" s="12" t="str">
        <f aca="false">IF('Carga Vigilador'!C149="","",'Carga Vigilador'!C149)</f>
        <v/>
      </c>
      <c r="D149" s="13" t="str">
        <f aca="false">IF('Carga Vigilador'!D149="","",'Carga Vigilador'!D149)</f>
        <v/>
      </c>
      <c r="E149" s="6" t="str">
        <f aca="false">IF('Carga Vigilador'!E149="","",'Carga Vigilador'!E149)</f>
        <v/>
      </c>
      <c r="F149" s="13" t="str">
        <f aca="false">IF('Carga Vigilador'!F149="","",'Carga Vigilador'!F149)</f>
        <v/>
      </c>
      <c r="G149" s="13" t="str">
        <f aca="false">IF('Carga Vigilador'!G149="","",'Carga Vigilador'!G149)</f>
        <v/>
      </c>
      <c r="H149" s="14"/>
      <c r="I149" s="15"/>
      <c r="J149" s="14"/>
      <c r="K149" s="15"/>
      <c r="L149" s="16"/>
      <c r="M149" s="17"/>
      <c r="N149" s="18" t="str">
        <f aca="false">IF(B149="","",IF(J149="Sí","Multa aplicada",IF(J149="No","Sin multa",IF(H149="Sí","Descargo enviado","Pendiente"))))</f>
        <v/>
      </c>
    </row>
    <row r="150" customFormat="false" ht="15" hidden="false" customHeight="false" outlineLevel="0" collapsed="false">
      <c r="A150" s="6" t="str">
        <f aca="false">IF('Carga Vigilador'!A150="","",'Carga Vigilador'!A150)</f>
        <v/>
      </c>
      <c r="B150" s="11" t="str">
        <f aca="false">IF('Carga Vigilador'!B150="","",'Carga Vigilador'!B150)</f>
        <v/>
      </c>
      <c r="C150" s="12" t="str">
        <f aca="false">IF('Carga Vigilador'!C150="","",'Carga Vigilador'!C150)</f>
        <v/>
      </c>
      <c r="D150" s="13" t="str">
        <f aca="false">IF('Carga Vigilador'!D150="","",'Carga Vigilador'!D150)</f>
        <v/>
      </c>
      <c r="E150" s="6" t="str">
        <f aca="false">IF('Carga Vigilador'!E150="","",'Carga Vigilador'!E150)</f>
        <v/>
      </c>
      <c r="F150" s="13" t="str">
        <f aca="false">IF('Carga Vigilador'!F150="","",'Carga Vigilador'!F150)</f>
        <v/>
      </c>
      <c r="G150" s="13" t="str">
        <f aca="false">IF('Carga Vigilador'!G150="","",'Carga Vigilador'!G150)</f>
        <v/>
      </c>
      <c r="H150" s="14"/>
      <c r="I150" s="15"/>
      <c r="J150" s="14"/>
      <c r="K150" s="15"/>
      <c r="L150" s="16"/>
      <c r="M150" s="17"/>
      <c r="N150" s="18" t="str">
        <f aca="false">IF(B150="","",IF(J150="Sí","Multa aplicada",IF(J150="No","Sin multa",IF(H150="Sí","Descargo enviado","Pendiente"))))</f>
        <v/>
      </c>
    </row>
    <row r="151" customFormat="false" ht="15" hidden="false" customHeight="false" outlineLevel="0" collapsed="false">
      <c r="A151" s="6" t="str">
        <f aca="false">IF('Carga Vigilador'!A151="","",'Carga Vigilador'!A151)</f>
        <v/>
      </c>
      <c r="B151" s="11" t="str">
        <f aca="false">IF('Carga Vigilador'!B151="","",'Carga Vigilador'!B151)</f>
        <v/>
      </c>
      <c r="C151" s="12" t="str">
        <f aca="false">IF('Carga Vigilador'!C151="","",'Carga Vigilador'!C151)</f>
        <v/>
      </c>
      <c r="D151" s="13" t="str">
        <f aca="false">IF('Carga Vigilador'!D151="","",'Carga Vigilador'!D151)</f>
        <v/>
      </c>
      <c r="E151" s="6" t="str">
        <f aca="false">IF('Carga Vigilador'!E151="","",'Carga Vigilador'!E151)</f>
        <v/>
      </c>
      <c r="F151" s="13" t="str">
        <f aca="false">IF('Carga Vigilador'!F151="","",'Carga Vigilador'!F151)</f>
        <v/>
      </c>
      <c r="G151" s="13" t="str">
        <f aca="false">IF('Carga Vigilador'!G151="","",'Carga Vigilador'!G151)</f>
        <v/>
      </c>
      <c r="H151" s="14"/>
      <c r="I151" s="15"/>
      <c r="J151" s="14"/>
      <c r="K151" s="15"/>
      <c r="L151" s="16"/>
      <c r="M151" s="17"/>
      <c r="N151" s="18" t="str">
        <f aca="false">IF(B151="","",IF(J151="Sí","Multa aplicada",IF(J151="No","Sin multa",IF(H151="Sí","Descargo enviado","Pendiente"))))</f>
        <v/>
      </c>
    </row>
    <row r="152" customFormat="false" ht="15" hidden="false" customHeight="false" outlineLevel="0" collapsed="false">
      <c r="A152" s="6" t="str">
        <f aca="false">IF('Carga Vigilador'!A152="","",'Carga Vigilador'!A152)</f>
        <v/>
      </c>
      <c r="B152" s="11" t="str">
        <f aca="false">IF('Carga Vigilador'!B152="","",'Carga Vigilador'!B152)</f>
        <v/>
      </c>
      <c r="C152" s="12" t="str">
        <f aca="false">IF('Carga Vigilador'!C152="","",'Carga Vigilador'!C152)</f>
        <v/>
      </c>
      <c r="D152" s="13" t="str">
        <f aca="false">IF('Carga Vigilador'!D152="","",'Carga Vigilador'!D152)</f>
        <v/>
      </c>
      <c r="E152" s="6" t="str">
        <f aca="false">IF('Carga Vigilador'!E152="","",'Carga Vigilador'!E152)</f>
        <v/>
      </c>
      <c r="F152" s="13" t="str">
        <f aca="false">IF('Carga Vigilador'!F152="","",'Carga Vigilador'!F152)</f>
        <v/>
      </c>
      <c r="G152" s="13" t="str">
        <f aca="false">IF('Carga Vigilador'!G152="","",'Carga Vigilador'!G152)</f>
        <v/>
      </c>
      <c r="H152" s="14"/>
      <c r="I152" s="15"/>
      <c r="J152" s="14"/>
      <c r="K152" s="15"/>
      <c r="L152" s="16"/>
      <c r="M152" s="17"/>
      <c r="N152" s="18" t="str">
        <f aca="false">IF(B152="","",IF(J152="Sí","Multa aplicada",IF(J152="No","Sin multa",IF(H152="Sí","Descargo enviado","Pendiente"))))</f>
        <v/>
      </c>
    </row>
    <row r="153" customFormat="false" ht="15" hidden="false" customHeight="false" outlineLevel="0" collapsed="false">
      <c r="A153" s="6" t="str">
        <f aca="false">IF('Carga Vigilador'!A153="","",'Carga Vigilador'!A153)</f>
        <v/>
      </c>
      <c r="B153" s="11" t="str">
        <f aca="false">IF('Carga Vigilador'!B153="","",'Carga Vigilador'!B153)</f>
        <v/>
      </c>
      <c r="C153" s="12" t="str">
        <f aca="false">IF('Carga Vigilador'!C153="","",'Carga Vigilador'!C153)</f>
        <v/>
      </c>
      <c r="D153" s="13" t="str">
        <f aca="false">IF('Carga Vigilador'!D153="","",'Carga Vigilador'!D153)</f>
        <v/>
      </c>
      <c r="E153" s="6" t="str">
        <f aca="false">IF('Carga Vigilador'!E153="","",'Carga Vigilador'!E153)</f>
        <v/>
      </c>
      <c r="F153" s="13" t="str">
        <f aca="false">IF('Carga Vigilador'!F153="","",'Carga Vigilador'!F153)</f>
        <v/>
      </c>
      <c r="G153" s="13" t="str">
        <f aca="false">IF('Carga Vigilador'!G153="","",'Carga Vigilador'!G153)</f>
        <v/>
      </c>
      <c r="H153" s="14"/>
      <c r="I153" s="15"/>
      <c r="J153" s="14"/>
      <c r="K153" s="15"/>
      <c r="L153" s="16"/>
      <c r="M153" s="17"/>
      <c r="N153" s="18" t="str">
        <f aca="false">IF(B153="","",IF(J153="Sí","Multa aplicada",IF(J153="No","Sin multa",IF(H153="Sí","Descargo enviado","Pendiente"))))</f>
        <v/>
      </c>
    </row>
    <row r="154" customFormat="false" ht="15" hidden="false" customHeight="false" outlineLevel="0" collapsed="false">
      <c r="A154" s="6" t="str">
        <f aca="false">IF('Carga Vigilador'!A154="","",'Carga Vigilador'!A154)</f>
        <v/>
      </c>
      <c r="B154" s="11" t="str">
        <f aca="false">IF('Carga Vigilador'!B154="","",'Carga Vigilador'!B154)</f>
        <v/>
      </c>
      <c r="C154" s="12" t="str">
        <f aca="false">IF('Carga Vigilador'!C154="","",'Carga Vigilador'!C154)</f>
        <v/>
      </c>
      <c r="D154" s="13" t="str">
        <f aca="false">IF('Carga Vigilador'!D154="","",'Carga Vigilador'!D154)</f>
        <v/>
      </c>
      <c r="E154" s="6" t="str">
        <f aca="false">IF('Carga Vigilador'!E154="","",'Carga Vigilador'!E154)</f>
        <v/>
      </c>
      <c r="F154" s="13" t="str">
        <f aca="false">IF('Carga Vigilador'!F154="","",'Carga Vigilador'!F154)</f>
        <v/>
      </c>
      <c r="G154" s="13" t="str">
        <f aca="false">IF('Carga Vigilador'!G154="","",'Carga Vigilador'!G154)</f>
        <v/>
      </c>
      <c r="H154" s="14"/>
      <c r="I154" s="15"/>
      <c r="J154" s="14"/>
      <c r="K154" s="15"/>
      <c r="L154" s="16"/>
      <c r="M154" s="17"/>
      <c r="N154" s="18" t="str">
        <f aca="false">IF(B154="","",IF(J154="Sí","Multa aplicada",IF(J154="No","Sin multa",IF(H154="Sí","Descargo enviado","Pendiente"))))</f>
        <v/>
      </c>
    </row>
    <row r="155" customFormat="false" ht="15" hidden="false" customHeight="false" outlineLevel="0" collapsed="false">
      <c r="A155" s="6" t="str">
        <f aca="false">IF('Carga Vigilador'!A155="","",'Carga Vigilador'!A155)</f>
        <v/>
      </c>
      <c r="B155" s="11" t="str">
        <f aca="false">IF('Carga Vigilador'!B155="","",'Carga Vigilador'!B155)</f>
        <v/>
      </c>
      <c r="C155" s="12" t="str">
        <f aca="false">IF('Carga Vigilador'!C155="","",'Carga Vigilador'!C155)</f>
        <v/>
      </c>
      <c r="D155" s="13" t="str">
        <f aca="false">IF('Carga Vigilador'!D155="","",'Carga Vigilador'!D155)</f>
        <v/>
      </c>
      <c r="E155" s="6" t="str">
        <f aca="false">IF('Carga Vigilador'!E155="","",'Carga Vigilador'!E155)</f>
        <v/>
      </c>
      <c r="F155" s="13" t="str">
        <f aca="false">IF('Carga Vigilador'!F155="","",'Carga Vigilador'!F155)</f>
        <v/>
      </c>
      <c r="G155" s="13" t="str">
        <f aca="false">IF('Carga Vigilador'!G155="","",'Carga Vigilador'!G155)</f>
        <v/>
      </c>
      <c r="H155" s="14"/>
      <c r="I155" s="15"/>
      <c r="J155" s="14"/>
      <c r="K155" s="15"/>
      <c r="L155" s="16"/>
      <c r="M155" s="17"/>
      <c r="N155" s="18" t="str">
        <f aca="false">IF(B155="","",IF(J155="Sí","Multa aplicada",IF(J155="No","Sin multa",IF(H155="Sí","Descargo enviado","Pendiente"))))</f>
        <v/>
      </c>
    </row>
    <row r="156" customFormat="false" ht="15" hidden="false" customHeight="false" outlineLevel="0" collapsed="false">
      <c r="A156" s="6" t="str">
        <f aca="false">IF('Carga Vigilador'!A156="","",'Carga Vigilador'!A156)</f>
        <v/>
      </c>
      <c r="B156" s="11" t="str">
        <f aca="false">IF('Carga Vigilador'!B156="","",'Carga Vigilador'!B156)</f>
        <v/>
      </c>
      <c r="C156" s="12" t="str">
        <f aca="false">IF('Carga Vigilador'!C156="","",'Carga Vigilador'!C156)</f>
        <v/>
      </c>
      <c r="D156" s="13" t="str">
        <f aca="false">IF('Carga Vigilador'!D156="","",'Carga Vigilador'!D156)</f>
        <v/>
      </c>
      <c r="E156" s="6" t="str">
        <f aca="false">IF('Carga Vigilador'!E156="","",'Carga Vigilador'!E156)</f>
        <v/>
      </c>
      <c r="F156" s="13" t="str">
        <f aca="false">IF('Carga Vigilador'!F156="","",'Carga Vigilador'!F156)</f>
        <v/>
      </c>
      <c r="G156" s="13" t="str">
        <f aca="false">IF('Carga Vigilador'!G156="","",'Carga Vigilador'!G156)</f>
        <v/>
      </c>
      <c r="H156" s="14"/>
      <c r="I156" s="15"/>
      <c r="J156" s="14"/>
      <c r="K156" s="15"/>
      <c r="L156" s="16"/>
      <c r="M156" s="17"/>
      <c r="N156" s="18" t="str">
        <f aca="false">IF(B156="","",IF(J156="Sí","Multa aplicada",IF(J156="No","Sin multa",IF(H156="Sí","Descargo enviado","Pendiente"))))</f>
        <v/>
      </c>
    </row>
    <row r="157" customFormat="false" ht="15" hidden="false" customHeight="false" outlineLevel="0" collapsed="false">
      <c r="A157" s="6" t="str">
        <f aca="false">IF('Carga Vigilador'!A157="","",'Carga Vigilador'!A157)</f>
        <v/>
      </c>
      <c r="B157" s="11" t="str">
        <f aca="false">IF('Carga Vigilador'!B157="","",'Carga Vigilador'!B157)</f>
        <v/>
      </c>
      <c r="C157" s="12" t="str">
        <f aca="false">IF('Carga Vigilador'!C157="","",'Carga Vigilador'!C157)</f>
        <v/>
      </c>
      <c r="D157" s="13" t="str">
        <f aca="false">IF('Carga Vigilador'!D157="","",'Carga Vigilador'!D157)</f>
        <v/>
      </c>
      <c r="E157" s="6" t="str">
        <f aca="false">IF('Carga Vigilador'!E157="","",'Carga Vigilador'!E157)</f>
        <v/>
      </c>
      <c r="F157" s="13" t="str">
        <f aca="false">IF('Carga Vigilador'!F157="","",'Carga Vigilador'!F157)</f>
        <v/>
      </c>
      <c r="G157" s="13" t="str">
        <f aca="false">IF('Carga Vigilador'!G157="","",'Carga Vigilador'!G157)</f>
        <v/>
      </c>
      <c r="H157" s="14"/>
      <c r="I157" s="15"/>
      <c r="J157" s="14"/>
      <c r="K157" s="15"/>
      <c r="L157" s="16"/>
      <c r="M157" s="17"/>
      <c r="N157" s="18" t="str">
        <f aca="false">IF(B157="","",IF(J157="Sí","Multa aplicada",IF(J157="No","Sin multa",IF(H157="Sí","Descargo enviado","Pendiente"))))</f>
        <v/>
      </c>
    </row>
    <row r="158" customFormat="false" ht="15" hidden="false" customHeight="false" outlineLevel="0" collapsed="false">
      <c r="A158" s="6" t="str">
        <f aca="false">IF('Carga Vigilador'!A158="","",'Carga Vigilador'!A158)</f>
        <v/>
      </c>
      <c r="B158" s="11" t="str">
        <f aca="false">IF('Carga Vigilador'!B158="","",'Carga Vigilador'!B158)</f>
        <v/>
      </c>
      <c r="C158" s="12" t="str">
        <f aca="false">IF('Carga Vigilador'!C158="","",'Carga Vigilador'!C158)</f>
        <v/>
      </c>
      <c r="D158" s="13" t="str">
        <f aca="false">IF('Carga Vigilador'!D158="","",'Carga Vigilador'!D158)</f>
        <v/>
      </c>
      <c r="E158" s="6" t="str">
        <f aca="false">IF('Carga Vigilador'!E158="","",'Carga Vigilador'!E158)</f>
        <v/>
      </c>
      <c r="F158" s="13" t="str">
        <f aca="false">IF('Carga Vigilador'!F158="","",'Carga Vigilador'!F158)</f>
        <v/>
      </c>
      <c r="G158" s="13" t="str">
        <f aca="false">IF('Carga Vigilador'!G158="","",'Carga Vigilador'!G158)</f>
        <v/>
      </c>
      <c r="H158" s="14"/>
      <c r="I158" s="15"/>
      <c r="J158" s="14"/>
      <c r="K158" s="15"/>
      <c r="L158" s="16"/>
      <c r="M158" s="17"/>
      <c r="N158" s="18" t="str">
        <f aca="false">IF(B158="","",IF(J158="Sí","Multa aplicada",IF(J158="No","Sin multa",IF(H158="Sí","Descargo enviado","Pendiente"))))</f>
        <v/>
      </c>
    </row>
    <row r="159" customFormat="false" ht="15" hidden="false" customHeight="false" outlineLevel="0" collapsed="false">
      <c r="A159" s="6" t="str">
        <f aca="false">IF('Carga Vigilador'!A159="","",'Carga Vigilador'!A159)</f>
        <v/>
      </c>
      <c r="B159" s="11" t="str">
        <f aca="false">IF('Carga Vigilador'!B159="","",'Carga Vigilador'!B159)</f>
        <v/>
      </c>
      <c r="C159" s="12" t="str">
        <f aca="false">IF('Carga Vigilador'!C159="","",'Carga Vigilador'!C159)</f>
        <v/>
      </c>
      <c r="D159" s="13" t="str">
        <f aca="false">IF('Carga Vigilador'!D159="","",'Carga Vigilador'!D159)</f>
        <v/>
      </c>
      <c r="E159" s="6" t="str">
        <f aca="false">IF('Carga Vigilador'!E159="","",'Carga Vigilador'!E159)</f>
        <v/>
      </c>
      <c r="F159" s="13" t="str">
        <f aca="false">IF('Carga Vigilador'!F159="","",'Carga Vigilador'!F159)</f>
        <v/>
      </c>
      <c r="G159" s="13" t="str">
        <f aca="false">IF('Carga Vigilador'!G159="","",'Carga Vigilador'!G159)</f>
        <v/>
      </c>
      <c r="H159" s="14"/>
      <c r="I159" s="15"/>
      <c r="J159" s="14"/>
      <c r="K159" s="15"/>
      <c r="L159" s="16"/>
      <c r="M159" s="17"/>
      <c r="N159" s="18" t="str">
        <f aca="false">IF(B159="","",IF(J159="Sí","Multa aplicada",IF(J159="No","Sin multa",IF(H159="Sí","Descargo enviado","Pendiente"))))</f>
        <v/>
      </c>
    </row>
    <row r="160" customFormat="false" ht="15" hidden="false" customHeight="false" outlineLevel="0" collapsed="false">
      <c r="A160" s="6" t="str">
        <f aca="false">IF('Carga Vigilador'!A160="","",'Carga Vigilador'!A160)</f>
        <v/>
      </c>
      <c r="B160" s="11" t="str">
        <f aca="false">IF('Carga Vigilador'!B160="","",'Carga Vigilador'!B160)</f>
        <v/>
      </c>
      <c r="C160" s="12" t="str">
        <f aca="false">IF('Carga Vigilador'!C160="","",'Carga Vigilador'!C160)</f>
        <v/>
      </c>
      <c r="D160" s="13" t="str">
        <f aca="false">IF('Carga Vigilador'!D160="","",'Carga Vigilador'!D160)</f>
        <v/>
      </c>
      <c r="E160" s="6" t="str">
        <f aca="false">IF('Carga Vigilador'!E160="","",'Carga Vigilador'!E160)</f>
        <v/>
      </c>
      <c r="F160" s="13" t="str">
        <f aca="false">IF('Carga Vigilador'!F160="","",'Carga Vigilador'!F160)</f>
        <v/>
      </c>
      <c r="G160" s="13" t="str">
        <f aca="false">IF('Carga Vigilador'!G160="","",'Carga Vigilador'!G160)</f>
        <v/>
      </c>
      <c r="H160" s="14"/>
      <c r="I160" s="15"/>
      <c r="J160" s="14"/>
      <c r="K160" s="15"/>
      <c r="L160" s="16"/>
      <c r="M160" s="17"/>
      <c r="N160" s="18" t="str">
        <f aca="false">IF(B160="","",IF(J160="Sí","Multa aplicada",IF(J160="No","Sin multa",IF(H160="Sí","Descargo enviado","Pendiente"))))</f>
        <v/>
      </c>
    </row>
    <row r="161" customFormat="false" ht="15" hidden="false" customHeight="false" outlineLevel="0" collapsed="false">
      <c r="A161" s="6" t="str">
        <f aca="false">IF('Carga Vigilador'!A161="","",'Carga Vigilador'!A161)</f>
        <v/>
      </c>
      <c r="B161" s="11" t="str">
        <f aca="false">IF('Carga Vigilador'!B161="","",'Carga Vigilador'!B161)</f>
        <v/>
      </c>
      <c r="C161" s="12" t="str">
        <f aca="false">IF('Carga Vigilador'!C161="","",'Carga Vigilador'!C161)</f>
        <v/>
      </c>
      <c r="D161" s="13" t="str">
        <f aca="false">IF('Carga Vigilador'!D161="","",'Carga Vigilador'!D161)</f>
        <v/>
      </c>
      <c r="E161" s="6" t="str">
        <f aca="false">IF('Carga Vigilador'!E161="","",'Carga Vigilador'!E161)</f>
        <v/>
      </c>
      <c r="F161" s="13" t="str">
        <f aca="false">IF('Carga Vigilador'!F161="","",'Carga Vigilador'!F161)</f>
        <v/>
      </c>
      <c r="G161" s="13" t="str">
        <f aca="false">IF('Carga Vigilador'!G161="","",'Carga Vigilador'!G161)</f>
        <v/>
      </c>
      <c r="H161" s="14"/>
      <c r="I161" s="15"/>
      <c r="J161" s="14"/>
      <c r="K161" s="15"/>
      <c r="L161" s="16"/>
      <c r="M161" s="17"/>
      <c r="N161" s="18" t="str">
        <f aca="false">IF(B161="","",IF(J161="Sí","Multa aplicada",IF(J161="No","Sin multa",IF(H161="Sí","Descargo enviado","Pendiente"))))</f>
        <v/>
      </c>
    </row>
    <row r="162" customFormat="false" ht="15" hidden="false" customHeight="false" outlineLevel="0" collapsed="false">
      <c r="A162" s="6" t="str">
        <f aca="false">IF('Carga Vigilador'!A162="","",'Carga Vigilador'!A162)</f>
        <v/>
      </c>
      <c r="B162" s="11" t="str">
        <f aca="false">IF('Carga Vigilador'!B162="","",'Carga Vigilador'!B162)</f>
        <v/>
      </c>
      <c r="C162" s="12" t="str">
        <f aca="false">IF('Carga Vigilador'!C162="","",'Carga Vigilador'!C162)</f>
        <v/>
      </c>
      <c r="D162" s="13" t="str">
        <f aca="false">IF('Carga Vigilador'!D162="","",'Carga Vigilador'!D162)</f>
        <v/>
      </c>
      <c r="E162" s="6" t="str">
        <f aca="false">IF('Carga Vigilador'!E162="","",'Carga Vigilador'!E162)</f>
        <v/>
      </c>
      <c r="F162" s="13" t="str">
        <f aca="false">IF('Carga Vigilador'!F162="","",'Carga Vigilador'!F162)</f>
        <v/>
      </c>
      <c r="G162" s="13" t="str">
        <f aca="false">IF('Carga Vigilador'!G162="","",'Carga Vigilador'!G162)</f>
        <v/>
      </c>
      <c r="H162" s="14"/>
      <c r="I162" s="15"/>
      <c r="J162" s="14"/>
      <c r="K162" s="15"/>
      <c r="L162" s="16"/>
      <c r="M162" s="17"/>
      <c r="N162" s="18" t="str">
        <f aca="false">IF(B162="","",IF(J162="Sí","Multa aplicada",IF(J162="No","Sin multa",IF(H162="Sí","Descargo enviado","Pendiente"))))</f>
        <v/>
      </c>
    </row>
    <row r="163" customFormat="false" ht="15" hidden="false" customHeight="false" outlineLevel="0" collapsed="false">
      <c r="A163" s="6" t="str">
        <f aca="false">IF('Carga Vigilador'!A163="","",'Carga Vigilador'!A163)</f>
        <v/>
      </c>
      <c r="B163" s="11" t="str">
        <f aca="false">IF('Carga Vigilador'!B163="","",'Carga Vigilador'!B163)</f>
        <v/>
      </c>
      <c r="C163" s="12" t="str">
        <f aca="false">IF('Carga Vigilador'!C163="","",'Carga Vigilador'!C163)</f>
        <v/>
      </c>
      <c r="D163" s="13" t="str">
        <f aca="false">IF('Carga Vigilador'!D163="","",'Carga Vigilador'!D163)</f>
        <v/>
      </c>
      <c r="E163" s="6" t="str">
        <f aca="false">IF('Carga Vigilador'!E163="","",'Carga Vigilador'!E163)</f>
        <v/>
      </c>
      <c r="F163" s="13" t="str">
        <f aca="false">IF('Carga Vigilador'!F163="","",'Carga Vigilador'!F163)</f>
        <v/>
      </c>
      <c r="G163" s="13" t="str">
        <f aca="false">IF('Carga Vigilador'!G163="","",'Carga Vigilador'!G163)</f>
        <v/>
      </c>
      <c r="H163" s="14"/>
      <c r="I163" s="15"/>
      <c r="J163" s="14"/>
      <c r="K163" s="15"/>
      <c r="L163" s="16"/>
      <c r="M163" s="17"/>
      <c r="N163" s="18" t="str">
        <f aca="false">IF(B163="","",IF(J163="Sí","Multa aplicada",IF(J163="No","Sin multa",IF(H163="Sí","Descargo enviado","Pendiente"))))</f>
        <v/>
      </c>
    </row>
    <row r="164" customFormat="false" ht="15" hidden="false" customHeight="false" outlineLevel="0" collapsed="false">
      <c r="A164" s="6" t="str">
        <f aca="false">IF('Carga Vigilador'!A164="","",'Carga Vigilador'!A164)</f>
        <v/>
      </c>
      <c r="B164" s="11" t="str">
        <f aca="false">IF('Carga Vigilador'!B164="","",'Carga Vigilador'!B164)</f>
        <v/>
      </c>
      <c r="C164" s="12" t="str">
        <f aca="false">IF('Carga Vigilador'!C164="","",'Carga Vigilador'!C164)</f>
        <v/>
      </c>
      <c r="D164" s="13" t="str">
        <f aca="false">IF('Carga Vigilador'!D164="","",'Carga Vigilador'!D164)</f>
        <v/>
      </c>
      <c r="E164" s="6" t="str">
        <f aca="false">IF('Carga Vigilador'!E164="","",'Carga Vigilador'!E164)</f>
        <v/>
      </c>
      <c r="F164" s="13" t="str">
        <f aca="false">IF('Carga Vigilador'!F164="","",'Carga Vigilador'!F164)</f>
        <v/>
      </c>
      <c r="G164" s="13" t="str">
        <f aca="false">IF('Carga Vigilador'!G164="","",'Carga Vigilador'!G164)</f>
        <v/>
      </c>
      <c r="H164" s="14"/>
      <c r="I164" s="15"/>
      <c r="J164" s="14"/>
      <c r="K164" s="15"/>
      <c r="L164" s="16"/>
      <c r="M164" s="17"/>
      <c r="N164" s="18" t="str">
        <f aca="false">IF(B164="","",IF(J164="Sí","Multa aplicada",IF(J164="No","Sin multa",IF(H164="Sí","Descargo enviado","Pendiente"))))</f>
        <v/>
      </c>
    </row>
    <row r="165" customFormat="false" ht="15" hidden="false" customHeight="false" outlineLevel="0" collapsed="false">
      <c r="A165" s="6" t="str">
        <f aca="false">IF('Carga Vigilador'!A165="","",'Carga Vigilador'!A165)</f>
        <v/>
      </c>
      <c r="B165" s="11" t="str">
        <f aca="false">IF('Carga Vigilador'!B165="","",'Carga Vigilador'!B165)</f>
        <v/>
      </c>
      <c r="C165" s="12" t="str">
        <f aca="false">IF('Carga Vigilador'!C165="","",'Carga Vigilador'!C165)</f>
        <v/>
      </c>
      <c r="D165" s="13" t="str">
        <f aca="false">IF('Carga Vigilador'!D165="","",'Carga Vigilador'!D165)</f>
        <v/>
      </c>
      <c r="E165" s="6" t="str">
        <f aca="false">IF('Carga Vigilador'!E165="","",'Carga Vigilador'!E165)</f>
        <v/>
      </c>
      <c r="F165" s="13" t="str">
        <f aca="false">IF('Carga Vigilador'!F165="","",'Carga Vigilador'!F165)</f>
        <v/>
      </c>
      <c r="G165" s="13" t="str">
        <f aca="false">IF('Carga Vigilador'!G165="","",'Carga Vigilador'!G165)</f>
        <v/>
      </c>
      <c r="H165" s="14"/>
      <c r="I165" s="15"/>
      <c r="J165" s="14"/>
      <c r="K165" s="15"/>
      <c r="L165" s="16"/>
      <c r="M165" s="17"/>
      <c r="N165" s="18" t="str">
        <f aca="false">IF(B165="","",IF(J165="Sí","Multa aplicada",IF(J165="No","Sin multa",IF(H165="Sí","Descargo enviado","Pendiente"))))</f>
        <v/>
      </c>
    </row>
    <row r="166" customFormat="false" ht="15" hidden="false" customHeight="false" outlineLevel="0" collapsed="false">
      <c r="A166" s="6" t="str">
        <f aca="false">IF('Carga Vigilador'!A166="","",'Carga Vigilador'!A166)</f>
        <v/>
      </c>
      <c r="B166" s="11" t="str">
        <f aca="false">IF('Carga Vigilador'!B166="","",'Carga Vigilador'!B166)</f>
        <v/>
      </c>
      <c r="C166" s="12" t="str">
        <f aca="false">IF('Carga Vigilador'!C166="","",'Carga Vigilador'!C166)</f>
        <v/>
      </c>
      <c r="D166" s="13" t="str">
        <f aca="false">IF('Carga Vigilador'!D166="","",'Carga Vigilador'!D166)</f>
        <v/>
      </c>
      <c r="E166" s="6" t="str">
        <f aca="false">IF('Carga Vigilador'!E166="","",'Carga Vigilador'!E166)</f>
        <v/>
      </c>
      <c r="F166" s="13" t="str">
        <f aca="false">IF('Carga Vigilador'!F166="","",'Carga Vigilador'!F166)</f>
        <v/>
      </c>
      <c r="G166" s="13" t="str">
        <f aca="false">IF('Carga Vigilador'!G166="","",'Carga Vigilador'!G166)</f>
        <v/>
      </c>
      <c r="H166" s="14"/>
      <c r="I166" s="15"/>
      <c r="J166" s="14"/>
      <c r="K166" s="15"/>
      <c r="L166" s="16"/>
      <c r="M166" s="17"/>
      <c r="N166" s="18" t="str">
        <f aca="false">IF(B166="","",IF(J166="Sí","Multa aplicada",IF(J166="No","Sin multa",IF(H166="Sí","Descargo enviado","Pendiente"))))</f>
        <v/>
      </c>
    </row>
    <row r="167" customFormat="false" ht="15" hidden="false" customHeight="false" outlineLevel="0" collapsed="false">
      <c r="A167" s="6" t="str">
        <f aca="false">IF('Carga Vigilador'!A167="","",'Carga Vigilador'!A167)</f>
        <v/>
      </c>
      <c r="B167" s="11" t="str">
        <f aca="false">IF('Carga Vigilador'!B167="","",'Carga Vigilador'!B167)</f>
        <v/>
      </c>
      <c r="C167" s="12" t="str">
        <f aca="false">IF('Carga Vigilador'!C167="","",'Carga Vigilador'!C167)</f>
        <v/>
      </c>
      <c r="D167" s="13" t="str">
        <f aca="false">IF('Carga Vigilador'!D167="","",'Carga Vigilador'!D167)</f>
        <v/>
      </c>
      <c r="E167" s="6" t="str">
        <f aca="false">IF('Carga Vigilador'!E167="","",'Carga Vigilador'!E167)</f>
        <v/>
      </c>
      <c r="F167" s="13" t="str">
        <f aca="false">IF('Carga Vigilador'!F167="","",'Carga Vigilador'!F167)</f>
        <v/>
      </c>
      <c r="G167" s="13" t="str">
        <f aca="false">IF('Carga Vigilador'!G167="","",'Carga Vigilador'!G167)</f>
        <v/>
      </c>
      <c r="H167" s="14"/>
      <c r="I167" s="15"/>
      <c r="J167" s="14"/>
      <c r="K167" s="15"/>
      <c r="L167" s="16"/>
      <c r="M167" s="17"/>
      <c r="N167" s="18" t="str">
        <f aca="false">IF(B167="","",IF(J167="Sí","Multa aplicada",IF(J167="No","Sin multa",IF(H167="Sí","Descargo enviado","Pendiente"))))</f>
        <v/>
      </c>
    </row>
    <row r="168" customFormat="false" ht="15" hidden="false" customHeight="false" outlineLevel="0" collapsed="false">
      <c r="A168" s="6" t="str">
        <f aca="false">IF('Carga Vigilador'!A168="","",'Carga Vigilador'!A168)</f>
        <v/>
      </c>
      <c r="B168" s="11" t="str">
        <f aca="false">IF('Carga Vigilador'!B168="","",'Carga Vigilador'!B168)</f>
        <v/>
      </c>
      <c r="C168" s="12" t="str">
        <f aca="false">IF('Carga Vigilador'!C168="","",'Carga Vigilador'!C168)</f>
        <v/>
      </c>
      <c r="D168" s="13" t="str">
        <f aca="false">IF('Carga Vigilador'!D168="","",'Carga Vigilador'!D168)</f>
        <v/>
      </c>
      <c r="E168" s="6" t="str">
        <f aca="false">IF('Carga Vigilador'!E168="","",'Carga Vigilador'!E168)</f>
        <v/>
      </c>
      <c r="F168" s="13" t="str">
        <f aca="false">IF('Carga Vigilador'!F168="","",'Carga Vigilador'!F168)</f>
        <v/>
      </c>
      <c r="G168" s="13" t="str">
        <f aca="false">IF('Carga Vigilador'!G168="","",'Carga Vigilador'!G168)</f>
        <v/>
      </c>
      <c r="H168" s="14"/>
      <c r="I168" s="15"/>
      <c r="J168" s="14"/>
      <c r="K168" s="15"/>
      <c r="L168" s="16"/>
      <c r="M168" s="17"/>
      <c r="N168" s="18" t="str">
        <f aca="false">IF(B168="","",IF(J168="Sí","Multa aplicada",IF(J168="No","Sin multa",IF(H168="Sí","Descargo enviado","Pendiente"))))</f>
        <v/>
      </c>
    </row>
    <row r="169" customFormat="false" ht="15" hidden="false" customHeight="false" outlineLevel="0" collapsed="false">
      <c r="A169" s="6" t="str">
        <f aca="false">IF('Carga Vigilador'!A169="","",'Carga Vigilador'!A169)</f>
        <v/>
      </c>
      <c r="B169" s="11" t="str">
        <f aca="false">IF('Carga Vigilador'!B169="","",'Carga Vigilador'!B169)</f>
        <v/>
      </c>
      <c r="C169" s="12" t="str">
        <f aca="false">IF('Carga Vigilador'!C169="","",'Carga Vigilador'!C169)</f>
        <v/>
      </c>
      <c r="D169" s="13" t="str">
        <f aca="false">IF('Carga Vigilador'!D169="","",'Carga Vigilador'!D169)</f>
        <v/>
      </c>
      <c r="E169" s="6" t="str">
        <f aca="false">IF('Carga Vigilador'!E169="","",'Carga Vigilador'!E169)</f>
        <v/>
      </c>
      <c r="F169" s="13" t="str">
        <f aca="false">IF('Carga Vigilador'!F169="","",'Carga Vigilador'!F169)</f>
        <v/>
      </c>
      <c r="G169" s="13" t="str">
        <f aca="false">IF('Carga Vigilador'!G169="","",'Carga Vigilador'!G169)</f>
        <v/>
      </c>
      <c r="H169" s="14"/>
      <c r="I169" s="15"/>
      <c r="J169" s="14"/>
      <c r="K169" s="15"/>
      <c r="L169" s="16"/>
      <c r="M169" s="17"/>
      <c r="N169" s="18" t="str">
        <f aca="false">IF(B169="","",IF(J169="Sí","Multa aplicada",IF(J169="No","Sin multa",IF(H169="Sí","Descargo enviado","Pendiente"))))</f>
        <v/>
      </c>
    </row>
    <row r="170" customFormat="false" ht="15" hidden="false" customHeight="false" outlineLevel="0" collapsed="false">
      <c r="A170" s="6" t="str">
        <f aca="false">IF('Carga Vigilador'!A170="","",'Carga Vigilador'!A170)</f>
        <v/>
      </c>
      <c r="B170" s="11" t="str">
        <f aca="false">IF('Carga Vigilador'!B170="","",'Carga Vigilador'!B170)</f>
        <v/>
      </c>
      <c r="C170" s="12" t="str">
        <f aca="false">IF('Carga Vigilador'!C170="","",'Carga Vigilador'!C170)</f>
        <v/>
      </c>
      <c r="D170" s="13" t="str">
        <f aca="false">IF('Carga Vigilador'!D170="","",'Carga Vigilador'!D170)</f>
        <v/>
      </c>
      <c r="E170" s="6" t="str">
        <f aca="false">IF('Carga Vigilador'!E170="","",'Carga Vigilador'!E170)</f>
        <v/>
      </c>
      <c r="F170" s="13" t="str">
        <f aca="false">IF('Carga Vigilador'!F170="","",'Carga Vigilador'!F170)</f>
        <v/>
      </c>
      <c r="G170" s="13" t="str">
        <f aca="false">IF('Carga Vigilador'!G170="","",'Carga Vigilador'!G170)</f>
        <v/>
      </c>
      <c r="H170" s="14"/>
      <c r="I170" s="15"/>
      <c r="J170" s="14"/>
      <c r="K170" s="15"/>
      <c r="L170" s="16"/>
      <c r="M170" s="17"/>
      <c r="N170" s="18" t="str">
        <f aca="false">IF(B170="","",IF(J170="Sí","Multa aplicada",IF(J170="No","Sin multa",IF(H170="Sí","Descargo enviado","Pendiente"))))</f>
        <v/>
      </c>
    </row>
    <row r="171" customFormat="false" ht="15" hidden="false" customHeight="false" outlineLevel="0" collapsed="false">
      <c r="A171" s="6" t="str">
        <f aca="false">IF('Carga Vigilador'!A171="","",'Carga Vigilador'!A171)</f>
        <v/>
      </c>
      <c r="B171" s="11" t="str">
        <f aca="false">IF('Carga Vigilador'!B171="","",'Carga Vigilador'!B171)</f>
        <v/>
      </c>
      <c r="C171" s="12" t="str">
        <f aca="false">IF('Carga Vigilador'!C171="","",'Carga Vigilador'!C171)</f>
        <v/>
      </c>
      <c r="D171" s="13" t="str">
        <f aca="false">IF('Carga Vigilador'!D171="","",'Carga Vigilador'!D171)</f>
        <v/>
      </c>
      <c r="E171" s="6" t="str">
        <f aca="false">IF('Carga Vigilador'!E171="","",'Carga Vigilador'!E171)</f>
        <v/>
      </c>
      <c r="F171" s="13" t="str">
        <f aca="false">IF('Carga Vigilador'!F171="","",'Carga Vigilador'!F171)</f>
        <v/>
      </c>
      <c r="G171" s="13" t="str">
        <f aca="false">IF('Carga Vigilador'!G171="","",'Carga Vigilador'!G171)</f>
        <v/>
      </c>
      <c r="H171" s="14"/>
      <c r="I171" s="15"/>
      <c r="J171" s="14"/>
      <c r="K171" s="15"/>
      <c r="L171" s="16"/>
      <c r="M171" s="17"/>
      <c r="N171" s="18" t="str">
        <f aca="false">IF(B171="","",IF(J171="Sí","Multa aplicada",IF(J171="No","Sin multa",IF(H171="Sí","Descargo enviado","Pendiente"))))</f>
        <v/>
      </c>
    </row>
    <row r="172" customFormat="false" ht="15" hidden="false" customHeight="false" outlineLevel="0" collapsed="false">
      <c r="A172" s="6" t="str">
        <f aca="false">IF('Carga Vigilador'!A172="","",'Carga Vigilador'!A172)</f>
        <v/>
      </c>
      <c r="B172" s="11" t="str">
        <f aca="false">IF('Carga Vigilador'!B172="","",'Carga Vigilador'!B172)</f>
        <v/>
      </c>
      <c r="C172" s="12" t="str">
        <f aca="false">IF('Carga Vigilador'!C172="","",'Carga Vigilador'!C172)</f>
        <v/>
      </c>
      <c r="D172" s="13" t="str">
        <f aca="false">IF('Carga Vigilador'!D172="","",'Carga Vigilador'!D172)</f>
        <v/>
      </c>
      <c r="E172" s="6" t="str">
        <f aca="false">IF('Carga Vigilador'!E172="","",'Carga Vigilador'!E172)</f>
        <v/>
      </c>
      <c r="F172" s="13" t="str">
        <f aca="false">IF('Carga Vigilador'!F172="","",'Carga Vigilador'!F172)</f>
        <v/>
      </c>
      <c r="G172" s="13" t="str">
        <f aca="false">IF('Carga Vigilador'!G172="","",'Carga Vigilador'!G172)</f>
        <v/>
      </c>
      <c r="H172" s="14"/>
      <c r="I172" s="15"/>
      <c r="J172" s="14"/>
      <c r="K172" s="15"/>
      <c r="L172" s="16"/>
      <c r="M172" s="17"/>
      <c r="N172" s="18" t="str">
        <f aca="false">IF(B172="","",IF(J172="Sí","Multa aplicada",IF(J172="No","Sin multa",IF(H172="Sí","Descargo enviado","Pendiente"))))</f>
        <v/>
      </c>
    </row>
    <row r="173" customFormat="false" ht="15" hidden="false" customHeight="false" outlineLevel="0" collapsed="false">
      <c r="A173" s="6" t="str">
        <f aca="false">IF('Carga Vigilador'!A173="","",'Carga Vigilador'!A173)</f>
        <v/>
      </c>
      <c r="B173" s="11" t="str">
        <f aca="false">IF('Carga Vigilador'!B173="","",'Carga Vigilador'!B173)</f>
        <v/>
      </c>
      <c r="C173" s="12" t="str">
        <f aca="false">IF('Carga Vigilador'!C173="","",'Carga Vigilador'!C173)</f>
        <v/>
      </c>
      <c r="D173" s="13" t="str">
        <f aca="false">IF('Carga Vigilador'!D173="","",'Carga Vigilador'!D173)</f>
        <v/>
      </c>
      <c r="E173" s="6" t="str">
        <f aca="false">IF('Carga Vigilador'!E173="","",'Carga Vigilador'!E173)</f>
        <v/>
      </c>
      <c r="F173" s="13" t="str">
        <f aca="false">IF('Carga Vigilador'!F173="","",'Carga Vigilador'!F173)</f>
        <v/>
      </c>
      <c r="G173" s="13" t="str">
        <f aca="false">IF('Carga Vigilador'!G173="","",'Carga Vigilador'!G173)</f>
        <v/>
      </c>
      <c r="H173" s="14"/>
      <c r="I173" s="15"/>
      <c r="J173" s="14"/>
      <c r="K173" s="15"/>
      <c r="L173" s="16"/>
      <c r="M173" s="17"/>
      <c r="N173" s="18" t="str">
        <f aca="false">IF(B173="","",IF(J173="Sí","Multa aplicada",IF(J173="No","Sin multa",IF(H173="Sí","Descargo enviado","Pendiente"))))</f>
        <v/>
      </c>
    </row>
    <row r="174" customFormat="false" ht="15" hidden="false" customHeight="false" outlineLevel="0" collapsed="false">
      <c r="A174" s="6" t="str">
        <f aca="false">IF('Carga Vigilador'!A174="","",'Carga Vigilador'!A174)</f>
        <v/>
      </c>
      <c r="B174" s="11" t="str">
        <f aca="false">IF('Carga Vigilador'!B174="","",'Carga Vigilador'!B174)</f>
        <v/>
      </c>
      <c r="C174" s="12" t="str">
        <f aca="false">IF('Carga Vigilador'!C174="","",'Carga Vigilador'!C174)</f>
        <v/>
      </c>
      <c r="D174" s="13" t="str">
        <f aca="false">IF('Carga Vigilador'!D174="","",'Carga Vigilador'!D174)</f>
        <v/>
      </c>
      <c r="E174" s="6" t="str">
        <f aca="false">IF('Carga Vigilador'!E174="","",'Carga Vigilador'!E174)</f>
        <v/>
      </c>
      <c r="F174" s="13" t="str">
        <f aca="false">IF('Carga Vigilador'!F174="","",'Carga Vigilador'!F174)</f>
        <v/>
      </c>
      <c r="G174" s="13" t="str">
        <f aca="false">IF('Carga Vigilador'!G174="","",'Carga Vigilador'!G174)</f>
        <v/>
      </c>
      <c r="H174" s="14"/>
      <c r="I174" s="15"/>
      <c r="J174" s="14"/>
      <c r="K174" s="15"/>
      <c r="L174" s="16"/>
      <c r="M174" s="17"/>
      <c r="N174" s="18" t="str">
        <f aca="false">IF(B174="","",IF(J174="Sí","Multa aplicada",IF(J174="No","Sin multa",IF(H174="Sí","Descargo enviado","Pendiente"))))</f>
        <v/>
      </c>
    </row>
    <row r="175" customFormat="false" ht="15" hidden="false" customHeight="false" outlineLevel="0" collapsed="false">
      <c r="A175" s="6" t="str">
        <f aca="false">IF('Carga Vigilador'!A175="","",'Carga Vigilador'!A175)</f>
        <v/>
      </c>
      <c r="B175" s="11" t="str">
        <f aca="false">IF('Carga Vigilador'!B175="","",'Carga Vigilador'!B175)</f>
        <v/>
      </c>
      <c r="C175" s="12" t="str">
        <f aca="false">IF('Carga Vigilador'!C175="","",'Carga Vigilador'!C175)</f>
        <v/>
      </c>
      <c r="D175" s="13" t="str">
        <f aca="false">IF('Carga Vigilador'!D175="","",'Carga Vigilador'!D175)</f>
        <v/>
      </c>
      <c r="E175" s="6" t="str">
        <f aca="false">IF('Carga Vigilador'!E175="","",'Carga Vigilador'!E175)</f>
        <v/>
      </c>
      <c r="F175" s="13" t="str">
        <f aca="false">IF('Carga Vigilador'!F175="","",'Carga Vigilador'!F175)</f>
        <v/>
      </c>
      <c r="G175" s="13" t="str">
        <f aca="false">IF('Carga Vigilador'!G175="","",'Carga Vigilador'!G175)</f>
        <v/>
      </c>
      <c r="H175" s="14"/>
      <c r="I175" s="15"/>
      <c r="J175" s="14"/>
      <c r="K175" s="15"/>
      <c r="L175" s="16"/>
      <c r="M175" s="17"/>
      <c r="N175" s="18" t="str">
        <f aca="false">IF(B175="","",IF(J175="Sí","Multa aplicada",IF(J175="No","Sin multa",IF(H175="Sí","Descargo enviado","Pendiente"))))</f>
        <v/>
      </c>
    </row>
    <row r="176" customFormat="false" ht="15" hidden="false" customHeight="false" outlineLevel="0" collapsed="false">
      <c r="A176" s="6" t="str">
        <f aca="false">IF('Carga Vigilador'!A176="","",'Carga Vigilador'!A176)</f>
        <v/>
      </c>
      <c r="B176" s="11" t="str">
        <f aca="false">IF('Carga Vigilador'!B176="","",'Carga Vigilador'!B176)</f>
        <v/>
      </c>
      <c r="C176" s="12" t="str">
        <f aca="false">IF('Carga Vigilador'!C176="","",'Carga Vigilador'!C176)</f>
        <v/>
      </c>
      <c r="D176" s="13" t="str">
        <f aca="false">IF('Carga Vigilador'!D176="","",'Carga Vigilador'!D176)</f>
        <v/>
      </c>
      <c r="E176" s="6" t="str">
        <f aca="false">IF('Carga Vigilador'!E176="","",'Carga Vigilador'!E176)</f>
        <v/>
      </c>
      <c r="F176" s="13" t="str">
        <f aca="false">IF('Carga Vigilador'!F176="","",'Carga Vigilador'!F176)</f>
        <v/>
      </c>
      <c r="G176" s="13" t="str">
        <f aca="false">IF('Carga Vigilador'!G176="","",'Carga Vigilador'!G176)</f>
        <v/>
      </c>
      <c r="H176" s="14"/>
      <c r="I176" s="15"/>
      <c r="J176" s="14"/>
      <c r="K176" s="15"/>
      <c r="L176" s="16"/>
      <c r="M176" s="17"/>
      <c r="N176" s="18" t="str">
        <f aca="false">IF(B176="","",IF(J176="Sí","Multa aplicada",IF(J176="No","Sin multa",IF(H176="Sí","Descargo enviado","Pendiente"))))</f>
        <v/>
      </c>
    </row>
    <row r="177" customFormat="false" ht="15" hidden="false" customHeight="false" outlineLevel="0" collapsed="false">
      <c r="A177" s="6" t="str">
        <f aca="false">IF('Carga Vigilador'!A177="","",'Carga Vigilador'!A177)</f>
        <v/>
      </c>
      <c r="B177" s="11" t="str">
        <f aca="false">IF('Carga Vigilador'!B177="","",'Carga Vigilador'!B177)</f>
        <v/>
      </c>
      <c r="C177" s="12" t="str">
        <f aca="false">IF('Carga Vigilador'!C177="","",'Carga Vigilador'!C177)</f>
        <v/>
      </c>
      <c r="D177" s="13" t="str">
        <f aca="false">IF('Carga Vigilador'!D177="","",'Carga Vigilador'!D177)</f>
        <v/>
      </c>
      <c r="E177" s="6" t="str">
        <f aca="false">IF('Carga Vigilador'!E177="","",'Carga Vigilador'!E177)</f>
        <v/>
      </c>
      <c r="F177" s="13" t="str">
        <f aca="false">IF('Carga Vigilador'!F177="","",'Carga Vigilador'!F177)</f>
        <v/>
      </c>
      <c r="G177" s="13" t="str">
        <f aca="false">IF('Carga Vigilador'!G177="","",'Carga Vigilador'!G177)</f>
        <v/>
      </c>
      <c r="H177" s="14"/>
      <c r="I177" s="15"/>
      <c r="J177" s="14"/>
      <c r="K177" s="15"/>
      <c r="L177" s="16"/>
      <c r="M177" s="17"/>
      <c r="N177" s="18" t="str">
        <f aca="false">IF(B177="","",IF(J177="Sí","Multa aplicada",IF(J177="No","Sin multa",IF(H177="Sí","Descargo enviado","Pendiente"))))</f>
        <v/>
      </c>
    </row>
    <row r="178" customFormat="false" ht="15" hidden="false" customHeight="false" outlineLevel="0" collapsed="false">
      <c r="A178" s="6" t="str">
        <f aca="false">IF('Carga Vigilador'!A178="","",'Carga Vigilador'!A178)</f>
        <v/>
      </c>
      <c r="B178" s="11" t="str">
        <f aca="false">IF('Carga Vigilador'!B178="","",'Carga Vigilador'!B178)</f>
        <v/>
      </c>
      <c r="C178" s="12" t="str">
        <f aca="false">IF('Carga Vigilador'!C178="","",'Carga Vigilador'!C178)</f>
        <v/>
      </c>
      <c r="D178" s="13" t="str">
        <f aca="false">IF('Carga Vigilador'!D178="","",'Carga Vigilador'!D178)</f>
        <v/>
      </c>
      <c r="E178" s="6" t="str">
        <f aca="false">IF('Carga Vigilador'!E178="","",'Carga Vigilador'!E178)</f>
        <v/>
      </c>
      <c r="F178" s="13" t="str">
        <f aca="false">IF('Carga Vigilador'!F178="","",'Carga Vigilador'!F178)</f>
        <v/>
      </c>
      <c r="G178" s="13" t="str">
        <f aca="false">IF('Carga Vigilador'!G178="","",'Carga Vigilador'!G178)</f>
        <v/>
      </c>
      <c r="H178" s="14"/>
      <c r="I178" s="15"/>
      <c r="J178" s="14"/>
      <c r="K178" s="15"/>
      <c r="L178" s="16"/>
      <c r="M178" s="17"/>
      <c r="N178" s="18" t="str">
        <f aca="false">IF(B178="","",IF(J178="Sí","Multa aplicada",IF(J178="No","Sin multa",IF(H178="Sí","Descargo enviado","Pendiente"))))</f>
        <v/>
      </c>
    </row>
    <row r="179" customFormat="false" ht="15" hidden="false" customHeight="false" outlineLevel="0" collapsed="false">
      <c r="A179" s="6" t="str">
        <f aca="false">IF('Carga Vigilador'!A179="","",'Carga Vigilador'!A179)</f>
        <v/>
      </c>
      <c r="B179" s="11" t="str">
        <f aca="false">IF('Carga Vigilador'!B179="","",'Carga Vigilador'!B179)</f>
        <v/>
      </c>
      <c r="C179" s="12" t="str">
        <f aca="false">IF('Carga Vigilador'!C179="","",'Carga Vigilador'!C179)</f>
        <v/>
      </c>
      <c r="D179" s="13" t="str">
        <f aca="false">IF('Carga Vigilador'!D179="","",'Carga Vigilador'!D179)</f>
        <v/>
      </c>
      <c r="E179" s="6" t="str">
        <f aca="false">IF('Carga Vigilador'!E179="","",'Carga Vigilador'!E179)</f>
        <v/>
      </c>
      <c r="F179" s="13" t="str">
        <f aca="false">IF('Carga Vigilador'!F179="","",'Carga Vigilador'!F179)</f>
        <v/>
      </c>
      <c r="G179" s="13" t="str">
        <f aca="false">IF('Carga Vigilador'!G179="","",'Carga Vigilador'!G179)</f>
        <v/>
      </c>
      <c r="H179" s="14"/>
      <c r="I179" s="15"/>
      <c r="J179" s="14"/>
      <c r="K179" s="15"/>
      <c r="L179" s="16"/>
      <c r="M179" s="17"/>
      <c r="N179" s="18" t="str">
        <f aca="false">IF(B179="","",IF(J179="Sí","Multa aplicada",IF(J179="No","Sin multa",IF(H179="Sí","Descargo enviado","Pendiente"))))</f>
        <v/>
      </c>
    </row>
    <row r="180" customFormat="false" ht="15" hidden="false" customHeight="false" outlineLevel="0" collapsed="false">
      <c r="A180" s="6" t="str">
        <f aca="false">IF('Carga Vigilador'!A180="","",'Carga Vigilador'!A180)</f>
        <v/>
      </c>
      <c r="B180" s="11" t="str">
        <f aca="false">IF('Carga Vigilador'!B180="","",'Carga Vigilador'!B180)</f>
        <v/>
      </c>
      <c r="C180" s="12" t="str">
        <f aca="false">IF('Carga Vigilador'!C180="","",'Carga Vigilador'!C180)</f>
        <v/>
      </c>
      <c r="D180" s="13" t="str">
        <f aca="false">IF('Carga Vigilador'!D180="","",'Carga Vigilador'!D180)</f>
        <v/>
      </c>
      <c r="E180" s="6" t="str">
        <f aca="false">IF('Carga Vigilador'!E180="","",'Carga Vigilador'!E180)</f>
        <v/>
      </c>
      <c r="F180" s="13" t="str">
        <f aca="false">IF('Carga Vigilador'!F180="","",'Carga Vigilador'!F180)</f>
        <v/>
      </c>
      <c r="G180" s="13" t="str">
        <f aca="false">IF('Carga Vigilador'!G180="","",'Carga Vigilador'!G180)</f>
        <v/>
      </c>
      <c r="H180" s="14"/>
      <c r="I180" s="15"/>
      <c r="J180" s="14"/>
      <c r="K180" s="15"/>
      <c r="L180" s="16"/>
      <c r="M180" s="17"/>
      <c r="N180" s="18" t="str">
        <f aca="false">IF(B180="","",IF(J180="Sí","Multa aplicada",IF(J180="No","Sin multa",IF(H180="Sí","Descargo enviado","Pendiente"))))</f>
        <v/>
      </c>
    </row>
    <row r="181" customFormat="false" ht="15" hidden="false" customHeight="false" outlineLevel="0" collapsed="false">
      <c r="A181" s="6" t="str">
        <f aca="false">IF('Carga Vigilador'!A181="","",'Carga Vigilador'!A181)</f>
        <v/>
      </c>
      <c r="B181" s="11" t="str">
        <f aca="false">IF('Carga Vigilador'!B181="","",'Carga Vigilador'!B181)</f>
        <v/>
      </c>
      <c r="C181" s="12" t="str">
        <f aca="false">IF('Carga Vigilador'!C181="","",'Carga Vigilador'!C181)</f>
        <v/>
      </c>
      <c r="D181" s="13" t="str">
        <f aca="false">IF('Carga Vigilador'!D181="","",'Carga Vigilador'!D181)</f>
        <v/>
      </c>
      <c r="E181" s="6" t="str">
        <f aca="false">IF('Carga Vigilador'!E181="","",'Carga Vigilador'!E181)</f>
        <v/>
      </c>
      <c r="F181" s="13" t="str">
        <f aca="false">IF('Carga Vigilador'!F181="","",'Carga Vigilador'!F181)</f>
        <v/>
      </c>
      <c r="G181" s="13" t="str">
        <f aca="false">IF('Carga Vigilador'!G181="","",'Carga Vigilador'!G181)</f>
        <v/>
      </c>
      <c r="H181" s="14"/>
      <c r="I181" s="15"/>
      <c r="J181" s="14"/>
      <c r="K181" s="15"/>
      <c r="L181" s="16"/>
      <c r="M181" s="17"/>
      <c r="N181" s="18" t="str">
        <f aca="false">IF(B181="","",IF(J181="Sí","Multa aplicada",IF(J181="No","Sin multa",IF(H181="Sí","Descargo enviado","Pendiente"))))</f>
        <v/>
      </c>
    </row>
    <row r="182" customFormat="false" ht="15" hidden="false" customHeight="false" outlineLevel="0" collapsed="false">
      <c r="A182" s="6" t="str">
        <f aca="false">IF('Carga Vigilador'!A182="","",'Carga Vigilador'!A182)</f>
        <v/>
      </c>
      <c r="B182" s="11" t="str">
        <f aca="false">IF('Carga Vigilador'!B182="","",'Carga Vigilador'!B182)</f>
        <v/>
      </c>
      <c r="C182" s="12" t="str">
        <f aca="false">IF('Carga Vigilador'!C182="","",'Carga Vigilador'!C182)</f>
        <v/>
      </c>
      <c r="D182" s="13" t="str">
        <f aca="false">IF('Carga Vigilador'!D182="","",'Carga Vigilador'!D182)</f>
        <v/>
      </c>
      <c r="E182" s="6" t="str">
        <f aca="false">IF('Carga Vigilador'!E182="","",'Carga Vigilador'!E182)</f>
        <v/>
      </c>
      <c r="F182" s="13" t="str">
        <f aca="false">IF('Carga Vigilador'!F182="","",'Carga Vigilador'!F182)</f>
        <v/>
      </c>
      <c r="G182" s="13" t="str">
        <f aca="false">IF('Carga Vigilador'!G182="","",'Carga Vigilador'!G182)</f>
        <v/>
      </c>
      <c r="H182" s="14"/>
      <c r="I182" s="15"/>
      <c r="J182" s="14"/>
      <c r="K182" s="15"/>
      <c r="L182" s="16"/>
      <c r="M182" s="17"/>
      <c r="N182" s="18" t="str">
        <f aca="false">IF(B182="","",IF(J182="Sí","Multa aplicada",IF(J182="No","Sin multa",IF(H182="Sí","Descargo enviado","Pendiente"))))</f>
        <v/>
      </c>
    </row>
    <row r="183" customFormat="false" ht="15" hidden="false" customHeight="false" outlineLevel="0" collapsed="false">
      <c r="A183" s="6" t="str">
        <f aca="false">IF('Carga Vigilador'!A183="","",'Carga Vigilador'!A183)</f>
        <v/>
      </c>
      <c r="B183" s="11" t="str">
        <f aca="false">IF('Carga Vigilador'!B183="","",'Carga Vigilador'!B183)</f>
        <v/>
      </c>
      <c r="C183" s="12" t="str">
        <f aca="false">IF('Carga Vigilador'!C183="","",'Carga Vigilador'!C183)</f>
        <v/>
      </c>
      <c r="D183" s="13" t="str">
        <f aca="false">IF('Carga Vigilador'!D183="","",'Carga Vigilador'!D183)</f>
        <v/>
      </c>
      <c r="E183" s="6" t="str">
        <f aca="false">IF('Carga Vigilador'!E183="","",'Carga Vigilador'!E183)</f>
        <v/>
      </c>
      <c r="F183" s="13" t="str">
        <f aca="false">IF('Carga Vigilador'!F183="","",'Carga Vigilador'!F183)</f>
        <v/>
      </c>
      <c r="G183" s="13" t="str">
        <f aca="false">IF('Carga Vigilador'!G183="","",'Carga Vigilador'!G183)</f>
        <v/>
      </c>
      <c r="H183" s="14"/>
      <c r="I183" s="15"/>
      <c r="J183" s="14"/>
      <c r="K183" s="15"/>
      <c r="L183" s="16"/>
      <c r="M183" s="17"/>
      <c r="N183" s="18" t="str">
        <f aca="false">IF(B183="","",IF(J183="Sí","Multa aplicada",IF(J183="No","Sin multa",IF(H183="Sí","Descargo enviado","Pendiente"))))</f>
        <v/>
      </c>
    </row>
    <row r="184" customFormat="false" ht="15" hidden="false" customHeight="false" outlineLevel="0" collapsed="false">
      <c r="A184" s="6" t="str">
        <f aca="false">IF('Carga Vigilador'!A184="","",'Carga Vigilador'!A184)</f>
        <v/>
      </c>
      <c r="B184" s="11" t="str">
        <f aca="false">IF('Carga Vigilador'!B184="","",'Carga Vigilador'!B184)</f>
        <v/>
      </c>
      <c r="C184" s="12" t="str">
        <f aca="false">IF('Carga Vigilador'!C184="","",'Carga Vigilador'!C184)</f>
        <v/>
      </c>
      <c r="D184" s="13" t="str">
        <f aca="false">IF('Carga Vigilador'!D184="","",'Carga Vigilador'!D184)</f>
        <v/>
      </c>
      <c r="E184" s="6" t="str">
        <f aca="false">IF('Carga Vigilador'!E184="","",'Carga Vigilador'!E184)</f>
        <v/>
      </c>
      <c r="F184" s="13" t="str">
        <f aca="false">IF('Carga Vigilador'!F184="","",'Carga Vigilador'!F184)</f>
        <v/>
      </c>
      <c r="G184" s="13" t="str">
        <f aca="false">IF('Carga Vigilador'!G184="","",'Carga Vigilador'!G184)</f>
        <v/>
      </c>
      <c r="H184" s="14"/>
      <c r="I184" s="15"/>
      <c r="J184" s="14"/>
      <c r="K184" s="15"/>
      <c r="L184" s="16"/>
      <c r="M184" s="17"/>
      <c r="N184" s="18" t="str">
        <f aca="false">IF(B184="","",IF(J184="Sí","Multa aplicada",IF(J184="No","Sin multa",IF(H184="Sí","Descargo enviado","Pendiente"))))</f>
        <v/>
      </c>
    </row>
    <row r="185" customFormat="false" ht="15" hidden="false" customHeight="false" outlineLevel="0" collapsed="false">
      <c r="A185" s="6" t="str">
        <f aca="false">IF('Carga Vigilador'!A185="","",'Carga Vigilador'!A185)</f>
        <v/>
      </c>
      <c r="B185" s="11" t="str">
        <f aca="false">IF('Carga Vigilador'!B185="","",'Carga Vigilador'!B185)</f>
        <v/>
      </c>
      <c r="C185" s="12" t="str">
        <f aca="false">IF('Carga Vigilador'!C185="","",'Carga Vigilador'!C185)</f>
        <v/>
      </c>
      <c r="D185" s="13" t="str">
        <f aca="false">IF('Carga Vigilador'!D185="","",'Carga Vigilador'!D185)</f>
        <v/>
      </c>
      <c r="E185" s="6" t="str">
        <f aca="false">IF('Carga Vigilador'!E185="","",'Carga Vigilador'!E185)</f>
        <v/>
      </c>
      <c r="F185" s="13" t="str">
        <f aca="false">IF('Carga Vigilador'!F185="","",'Carga Vigilador'!F185)</f>
        <v/>
      </c>
      <c r="G185" s="13" t="str">
        <f aca="false">IF('Carga Vigilador'!G185="","",'Carga Vigilador'!G185)</f>
        <v/>
      </c>
      <c r="H185" s="14"/>
      <c r="I185" s="15"/>
      <c r="J185" s="14"/>
      <c r="K185" s="15"/>
      <c r="L185" s="16"/>
      <c r="M185" s="17"/>
      <c r="N185" s="18" t="str">
        <f aca="false">IF(B185="","",IF(J185="Sí","Multa aplicada",IF(J185="No","Sin multa",IF(H185="Sí","Descargo enviado","Pendiente"))))</f>
        <v/>
      </c>
    </row>
    <row r="186" customFormat="false" ht="15" hidden="false" customHeight="false" outlineLevel="0" collapsed="false">
      <c r="A186" s="6" t="str">
        <f aca="false">IF('Carga Vigilador'!A186="","",'Carga Vigilador'!A186)</f>
        <v/>
      </c>
      <c r="B186" s="11" t="str">
        <f aca="false">IF('Carga Vigilador'!B186="","",'Carga Vigilador'!B186)</f>
        <v/>
      </c>
      <c r="C186" s="12" t="str">
        <f aca="false">IF('Carga Vigilador'!C186="","",'Carga Vigilador'!C186)</f>
        <v/>
      </c>
      <c r="D186" s="13" t="str">
        <f aca="false">IF('Carga Vigilador'!D186="","",'Carga Vigilador'!D186)</f>
        <v/>
      </c>
      <c r="E186" s="6" t="str">
        <f aca="false">IF('Carga Vigilador'!E186="","",'Carga Vigilador'!E186)</f>
        <v/>
      </c>
      <c r="F186" s="13" t="str">
        <f aca="false">IF('Carga Vigilador'!F186="","",'Carga Vigilador'!F186)</f>
        <v/>
      </c>
      <c r="G186" s="13" t="str">
        <f aca="false">IF('Carga Vigilador'!G186="","",'Carga Vigilador'!G186)</f>
        <v/>
      </c>
      <c r="H186" s="14"/>
      <c r="I186" s="15"/>
      <c r="J186" s="14"/>
      <c r="K186" s="15"/>
      <c r="L186" s="16"/>
      <c r="M186" s="17"/>
      <c r="N186" s="18" t="str">
        <f aca="false">IF(B186="","",IF(J186="Sí","Multa aplicada",IF(J186="No","Sin multa",IF(H186="Sí","Descargo enviado","Pendiente"))))</f>
        <v/>
      </c>
    </row>
    <row r="187" customFormat="false" ht="15" hidden="false" customHeight="false" outlineLevel="0" collapsed="false">
      <c r="A187" s="6" t="str">
        <f aca="false">IF('Carga Vigilador'!A187="","",'Carga Vigilador'!A187)</f>
        <v/>
      </c>
      <c r="B187" s="11" t="str">
        <f aca="false">IF('Carga Vigilador'!B187="","",'Carga Vigilador'!B187)</f>
        <v/>
      </c>
      <c r="C187" s="12" t="str">
        <f aca="false">IF('Carga Vigilador'!C187="","",'Carga Vigilador'!C187)</f>
        <v/>
      </c>
      <c r="D187" s="13" t="str">
        <f aca="false">IF('Carga Vigilador'!D187="","",'Carga Vigilador'!D187)</f>
        <v/>
      </c>
      <c r="E187" s="6" t="str">
        <f aca="false">IF('Carga Vigilador'!E187="","",'Carga Vigilador'!E187)</f>
        <v/>
      </c>
      <c r="F187" s="13" t="str">
        <f aca="false">IF('Carga Vigilador'!F187="","",'Carga Vigilador'!F187)</f>
        <v/>
      </c>
      <c r="G187" s="13" t="str">
        <f aca="false">IF('Carga Vigilador'!G187="","",'Carga Vigilador'!G187)</f>
        <v/>
      </c>
      <c r="H187" s="14"/>
      <c r="I187" s="15"/>
      <c r="J187" s="14"/>
      <c r="K187" s="15"/>
      <c r="L187" s="16"/>
      <c r="M187" s="17"/>
      <c r="N187" s="18" t="str">
        <f aca="false">IF(B187="","",IF(J187="Sí","Multa aplicada",IF(J187="No","Sin multa",IF(H187="Sí","Descargo enviado","Pendiente"))))</f>
        <v/>
      </c>
    </row>
    <row r="188" customFormat="false" ht="15" hidden="false" customHeight="false" outlineLevel="0" collapsed="false">
      <c r="A188" s="6" t="str">
        <f aca="false">IF('Carga Vigilador'!A188="","",'Carga Vigilador'!A188)</f>
        <v/>
      </c>
      <c r="B188" s="11" t="str">
        <f aca="false">IF('Carga Vigilador'!B188="","",'Carga Vigilador'!B188)</f>
        <v/>
      </c>
      <c r="C188" s="12" t="str">
        <f aca="false">IF('Carga Vigilador'!C188="","",'Carga Vigilador'!C188)</f>
        <v/>
      </c>
      <c r="D188" s="13" t="str">
        <f aca="false">IF('Carga Vigilador'!D188="","",'Carga Vigilador'!D188)</f>
        <v/>
      </c>
      <c r="E188" s="6" t="str">
        <f aca="false">IF('Carga Vigilador'!E188="","",'Carga Vigilador'!E188)</f>
        <v/>
      </c>
      <c r="F188" s="13" t="str">
        <f aca="false">IF('Carga Vigilador'!F188="","",'Carga Vigilador'!F188)</f>
        <v/>
      </c>
      <c r="G188" s="13" t="str">
        <f aca="false">IF('Carga Vigilador'!G188="","",'Carga Vigilador'!G188)</f>
        <v/>
      </c>
      <c r="H188" s="14"/>
      <c r="I188" s="15"/>
      <c r="J188" s="14"/>
      <c r="K188" s="15"/>
      <c r="L188" s="16"/>
      <c r="M188" s="17"/>
      <c r="N188" s="18" t="str">
        <f aca="false">IF(B188="","",IF(J188="Sí","Multa aplicada",IF(J188="No","Sin multa",IF(H188="Sí","Descargo enviado","Pendiente"))))</f>
        <v/>
      </c>
    </row>
    <row r="189" customFormat="false" ht="15" hidden="false" customHeight="false" outlineLevel="0" collapsed="false">
      <c r="A189" s="6" t="str">
        <f aca="false">IF('Carga Vigilador'!A189="","",'Carga Vigilador'!A189)</f>
        <v/>
      </c>
      <c r="B189" s="11" t="str">
        <f aca="false">IF('Carga Vigilador'!B189="","",'Carga Vigilador'!B189)</f>
        <v/>
      </c>
      <c r="C189" s="12" t="str">
        <f aca="false">IF('Carga Vigilador'!C189="","",'Carga Vigilador'!C189)</f>
        <v/>
      </c>
      <c r="D189" s="13" t="str">
        <f aca="false">IF('Carga Vigilador'!D189="","",'Carga Vigilador'!D189)</f>
        <v/>
      </c>
      <c r="E189" s="6" t="str">
        <f aca="false">IF('Carga Vigilador'!E189="","",'Carga Vigilador'!E189)</f>
        <v/>
      </c>
      <c r="F189" s="13" t="str">
        <f aca="false">IF('Carga Vigilador'!F189="","",'Carga Vigilador'!F189)</f>
        <v/>
      </c>
      <c r="G189" s="13" t="str">
        <f aca="false">IF('Carga Vigilador'!G189="","",'Carga Vigilador'!G189)</f>
        <v/>
      </c>
      <c r="H189" s="14"/>
      <c r="I189" s="15"/>
      <c r="J189" s="14"/>
      <c r="K189" s="15"/>
      <c r="L189" s="16"/>
      <c r="M189" s="17"/>
      <c r="N189" s="18" t="str">
        <f aca="false">IF(B189="","",IF(J189="Sí","Multa aplicada",IF(J189="No","Sin multa",IF(H189="Sí","Descargo enviado","Pendiente"))))</f>
        <v/>
      </c>
    </row>
    <row r="190" customFormat="false" ht="15" hidden="false" customHeight="false" outlineLevel="0" collapsed="false">
      <c r="A190" s="6" t="str">
        <f aca="false">IF('Carga Vigilador'!A190="","",'Carga Vigilador'!A190)</f>
        <v/>
      </c>
      <c r="B190" s="11" t="str">
        <f aca="false">IF('Carga Vigilador'!B190="","",'Carga Vigilador'!B190)</f>
        <v/>
      </c>
      <c r="C190" s="12" t="str">
        <f aca="false">IF('Carga Vigilador'!C190="","",'Carga Vigilador'!C190)</f>
        <v/>
      </c>
      <c r="D190" s="13" t="str">
        <f aca="false">IF('Carga Vigilador'!D190="","",'Carga Vigilador'!D190)</f>
        <v/>
      </c>
      <c r="E190" s="6" t="str">
        <f aca="false">IF('Carga Vigilador'!E190="","",'Carga Vigilador'!E190)</f>
        <v/>
      </c>
      <c r="F190" s="13" t="str">
        <f aca="false">IF('Carga Vigilador'!F190="","",'Carga Vigilador'!F190)</f>
        <v/>
      </c>
      <c r="G190" s="13" t="str">
        <f aca="false">IF('Carga Vigilador'!G190="","",'Carga Vigilador'!G190)</f>
        <v/>
      </c>
      <c r="H190" s="14"/>
      <c r="I190" s="15"/>
      <c r="J190" s="14"/>
      <c r="K190" s="15"/>
      <c r="L190" s="16"/>
      <c r="M190" s="17"/>
      <c r="N190" s="18" t="str">
        <f aca="false">IF(B190="","",IF(J190="Sí","Multa aplicada",IF(J190="No","Sin multa",IF(H190="Sí","Descargo enviado","Pendiente"))))</f>
        <v/>
      </c>
    </row>
    <row r="191" customFormat="false" ht="15" hidden="false" customHeight="false" outlineLevel="0" collapsed="false">
      <c r="A191" s="6" t="str">
        <f aca="false">IF('Carga Vigilador'!A191="","",'Carga Vigilador'!A191)</f>
        <v/>
      </c>
      <c r="B191" s="11" t="str">
        <f aca="false">IF('Carga Vigilador'!B191="","",'Carga Vigilador'!B191)</f>
        <v/>
      </c>
      <c r="C191" s="12" t="str">
        <f aca="false">IF('Carga Vigilador'!C191="","",'Carga Vigilador'!C191)</f>
        <v/>
      </c>
      <c r="D191" s="13" t="str">
        <f aca="false">IF('Carga Vigilador'!D191="","",'Carga Vigilador'!D191)</f>
        <v/>
      </c>
      <c r="E191" s="6" t="str">
        <f aca="false">IF('Carga Vigilador'!E191="","",'Carga Vigilador'!E191)</f>
        <v/>
      </c>
      <c r="F191" s="13" t="str">
        <f aca="false">IF('Carga Vigilador'!F191="","",'Carga Vigilador'!F191)</f>
        <v/>
      </c>
      <c r="G191" s="13" t="str">
        <f aca="false">IF('Carga Vigilador'!G191="","",'Carga Vigilador'!G191)</f>
        <v/>
      </c>
      <c r="H191" s="14"/>
      <c r="I191" s="15"/>
      <c r="J191" s="14"/>
      <c r="K191" s="15"/>
      <c r="L191" s="16"/>
      <c r="M191" s="17"/>
      <c r="N191" s="18" t="str">
        <f aca="false">IF(B191="","",IF(J191="Sí","Multa aplicada",IF(J191="No","Sin multa",IF(H191="Sí","Descargo enviado","Pendiente"))))</f>
        <v/>
      </c>
    </row>
    <row r="192" customFormat="false" ht="15" hidden="false" customHeight="false" outlineLevel="0" collapsed="false">
      <c r="A192" s="6" t="str">
        <f aca="false">IF('Carga Vigilador'!A192="","",'Carga Vigilador'!A192)</f>
        <v/>
      </c>
      <c r="B192" s="11" t="str">
        <f aca="false">IF('Carga Vigilador'!B192="","",'Carga Vigilador'!B192)</f>
        <v/>
      </c>
      <c r="C192" s="12" t="str">
        <f aca="false">IF('Carga Vigilador'!C192="","",'Carga Vigilador'!C192)</f>
        <v/>
      </c>
      <c r="D192" s="13" t="str">
        <f aca="false">IF('Carga Vigilador'!D192="","",'Carga Vigilador'!D192)</f>
        <v/>
      </c>
      <c r="E192" s="6" t="str">
        <f aca="false">IF('Carga Vigilador'!E192="","",'Carga Vigilador'!E192)</f>
        <v/>
      </c>
      <c r="F192" s="13" t="str">
        <f aca="false">IF('Carga Vigilador'!F192="","",'Carga Vigilador'!F192)</f>
        <v/>
      </c>
      <c r="G192" s="13" t="str">
        <f aca="false">IF('Carga Vigilador'!G192="","",'Carga Vigilador'!G192)</f>
        <v/>
      </c>
      <c r="H192" s="14"/>
      <c r="I192" s="15"/>
      <c r="J192" s="14"/>
      <c r="K192" s="15"/>
      <c r="L192" s="16"/>
      <c r="M192" s="17"/>
      <c r="N192" s="18" t="str">
        <f aca="false">IF(B192="","",IF(J192="Sí","Multa aplicada",IF(J192="No","Sin multa",IF(H192="Sí","Descargo enviado","Pendiente"))))</f>
        <v/>
      </c>
    </row>
    <row r="193" customFormat="false" ht="15" hidden="false" customHeight="false" outlineLevel="0" collapsed="false">
      <c r="A193" s="6" t="str">
        <f aca="false">IF('Carga Vigilador'!A193="","",'Carga Vigilador'!A193)</f>
        <v/>
      </c>
      <c r="B193" s="11" t="str">
        <f aca="false">IF('Carga Vigilador'!B193="","",'Carga Vigilador'!B193)</f>
        <v/>
      </c>
      <c r="C193" s="12" t="str">
        <f aca="false">IF('Carga Vigilador'!C193="","",'Carga Vigilador'!C193)</f>
        <v/>
      </c>
      <c r="D193" s="13" t="str">
        <f aca="false">IF('Carga Vigilador'!D193="","",'Carga Vigilador'!D193)</f>
        <v/>
      </c>
      <c r="E193" s="6" t="str">
        <f aca="false">IF('Carga Vigilador'!E193="","",'Carga Vigilador'!E193)</f>
        <v/>
      </c>
      <c r="F193" s="13" t="str">
        <f aca="false">IF('Carga Vigilador'!F193="","",'Carga Vigilador'!F193)</f>
        <v/>
      </c>
      <c r="G193" s="13" t="str">
        <f aca="false">IF('Carga Vigilador'!G193="","",'Carga Vigilador'!G193)</f>
        <v/>
      </c>
      <c r="H193" s="14"/>
      <c r="I193" s="15"/>
      <c r="J193" s="14"/>
      <c r="K193" s="15"/>
      <c r="L193" s="16"/>
      <c r="M193" s="17"/>
      <c r="N193" s="18" t="str">
        <f aca="false">IF(B193="","",IF(J193="Sí","Multa aplicada",IF(J193="No","Sin multa",IF(H193="Sí","Descargo enviado","Pendiente"))))</f>
        <v/>
      </c>
    </row>
    <row r="194" customFormat="false" ht="15" hidden="false" customHeight="false" outlineLevel="0" collapsed="false">
      <c r="A194" s="6" t="str">
        <f aca="false">IF('Carga Vigilador'!A194="","",'Carga Vigilador'!A194)</f>
        <v/>
      </c>
      <c r="B194" s="11" t="str">
        <f aca="false">IF('Carga Vigilador'!B194="","",'Carga Vigilador'!B194)</f>
        <v/>
      </c>
      <c r="C194" s="12" t="str">
        <f aca="false">IF('Carga Vigilador'!C194="","",'Carga Vigilador'!C194)</f>
        <v/>
      </c>
      <c r="D194" s="13" t="str">
        <f aca="false">IF('Carga Vigilador'!D194="","",'Carga Vigilador'!D194)</f>
        <v/>
      </c>
      <c r="E194" s="6" t="str">
        <f aca="false">IF('Carga Vigilador'!E194="","",'Carga Vigilador'!E194)</f>
        <v/>
      </c>
      <c r="F194" s="13" t="str">
        <f aca="false">IF('Carga Vigilador'!F194="","",'Carga Vigilador'!F194)</f>
        <v/>
      </c>
      <c r="G194" s="13" t="str">
        <f aca="false">IF('Carga Vigilador'!G194="","",'Carga Vigilador'!G194)</f>
        <v/>
      </c>
      <c r="H194" s="14"/>
      <c r="I194" s="15"/>
      <c r="J194" s="14"/>
      <c r="K194" s="15"/>
      <c r="L194" s="16"/>
      <c r="M194" s="17"/>
      <c r="N194" s="18" t="str">
        <f aca="false">IF(B194="","",IF(J194="Sí","Multa aplicada",IF(J194="No","Sin multa",IF(H194="Sí","Descargo enviado","Pendiente"))))</f>
        <v/>
      </c>
    </row>
    <row r="195" customFormat="false" ht="15" hidden="false" customHeight="false" outlineLevel="0" collapsed="false">
      <c r="A195" s="6" t="str">
        <f aca="false">IF('Carga Vigilador'!A195="","",'Carga Vigilador'!A195)</f>
        <v/>
      </c>
      <c r="B195" s="11" t="str">
        <f aca="false">IF('Carga Vigilador'!B195="","",'Carga Vigilador'!B195)</f>
        <v/>
      </c>
      <c r="C195" s="12" t="str">
        <f aca="false">IF('Carga Vigilador'!C195="","",'Carga Vigilador'!C195)</f>
        <v/>
      </c>
      <c r="D195" s="13" t="str">
        <f aca="false">IF('Carga Vigilador'!D195="","",'Carga Vigilador'!D195)</f>
        <v/>
      </c>
      <c r="E195" s="6" t="str">
        <f aca="false">IF('Carga Vigilador'!E195="","",'Carga Vigilador'!E195)</f>
        <v/>
      </c>
      <c r="F195" s="13" t="str">
        <f aca="false">IF('Carga Vigilador'!F195="","",'Carga Vigilador'!F195)</f>
        <v/>
      </c>
      <c r="G195" s="13" t="str">
        <f aca="false">IF('Carga Vigilador'!G195="","",'Carga Vigilador'!G195)</f>
        <v/>
      </c>
      <c r="H195" s="14"/>
      <c r="I195" s="15"/>
      <c r="J195" s="14"/>
      <c r="K195" s="15"/>
      <c r="L195" s="16"/>
      <c r="M195" s="17"/>
      <c r="N195" s="18" t="str">
        <f aca="false">IF(B195="","",IF(J195="Sí","Multa aplicada",IF(J195="No","Sin multa",IF(H195="Sí","Descargo enviado","Pendiente"))))</f>
        <v/>
      </c>
    </row>
    <row r="196" customFormat="false" ht="15" hidden="false" customHeight="false" outlineLevel="0" collapsed="false">
      <c r="A196" s="6" t="str">
        <f aca="false">IF('Carga Vigilador'!A196="","",'Carga Vigilador'!A196)</f>
        <v/>
      </c>
      <c r="B196" s="11" t="str">
        <f aca="false">IF('Carga Vigilador'!B196="","",'Carga Vigilador'!B196)</f>
        <v/>
      </c>
      <c r="C196" s="12" t="str">
        <f aca="false">IF('Carga Vigilador'!C196="","",'Carga Vigilador'!C196)</f>
        <v/>
      </c>
      <c r="D196" s="13" t="str">
        <f aca="false">IF('Carga Vigilador'!D196="","",'Carga Vigilador'!D196)</f>
        <v/>
      </c>
      <c r="E196" s="6" t="str">
        <f aca="false">IF('Carga Vigilador'!E196="","",'Carga Vigilador'!E196)</f>
        <v/>
      </c>
      <c r="F196" s="13" t="str">
        <f aca="false">IF('Carga Vigilador'!F196="","",'Carga Vigilador'!F196)</f>
        <v/>
      </c>
      <c r="G196" s="13" t="str">
        <f aca="false">IF('Carga Vigilador'!G196="","",'Carga Vigilador'!G196)</f>
        <v/>
      </c>
      <c r="H196" s="14"/>
      <c r="I196" s="15"/>
      <c r="J196" s="14"/>
      <c r="K196" s="15"/>
      <c r="L196" s="16"/>
      <c r="M196" s="17"/>
      <c r="N196" s="18" t="str">
        <f aca="false">IF(B196="","",IF(J196="Sí","Multa aplicada",IF(J196="No","Sin multa",IF(H196="Sí","Descargo enviado","Pendiente"))))</f>
        <v/>
      </c>
    </row>
    <row r="197" customFormat="false" ht="15" hidden="false" customHeight="false" outlineLevel="0" collapsed="false">
      <c r="A197" s="6" t="str">
        <f aca="false">IF('Carga Vigilador'!A197="","",'Carga Vigilador'!A197)</f>
        <v/>
      </c>
      <c r="B197" s="11" t="str">
        <f aca="false">IF('Carga Vigilador'!B197="","",'Carga Vigilador'!B197)</f>
        <v/>
      </c>
      <c r="C197" s="12" t="str">
        <f aca="false">IF('Carga Vigilador'!C197="","",'Carga Vigilador'!C197)</f>
        <v/>
      </c>
      <c r="D197" s="13" t="str">
        <f aca="false">IF('Carga Vigilador'!D197="","",'Carga Vigilador'!D197)</f>
        <v/>
      </c>
      <c r="E197" s="6" t="str">
        <f aca="false">IF('Carga Vigilador'!E197="","",'Carga Vigilador'!E197)</f>
        <v/>
      </c>
      <c r="F197" s="13" t="str">
        <f aca="false">IF('Carga Vigilador'!F197="","",'Carga Vigilador'!F197)</f>
        <v/>
      </c>
      <c r="G197" s="13" t="str">
        <f aca="false">IF('Carga Vigilador'!G197="","",'Carga Vigilador'!G197)</f>
        <v/>
      </c>
      <c r="H197" s="14"/>
      <c r="I197" s="15"/>
      <c r="J197" s="14"/>
      <c r="K197" s="15"/>
      <c r="L197" s="16"/>
      <c r="M197" s="17"/>
      <c r="N197" s="18" t="str">
        <f aca="false">IF(B197="","",IF(J197="Sí","Multa aplicada",IF(J197="No","Sin multa",IF(H197="Sí","Descargo enviado","Pendiente"))))</f>
        <v/>
      </c>
    </row>
    <row r="198" customFormat="false" ht="15" hidden="false" customHeight="false" outlineLevel="0" collapsed="false">
      <c r="A198" s="6" t="str">
        <f aca="false">IF('Carga Vigilador'!A198="","",'Carga Vigilador'!A198)</f>
        <v/>
      </c>
      <c r="B198" s="11" t="str">
        <f aca="false">IF('Carga Vigilador'!B198="","",'Carga Vigilador'!B198)</f>
        <v/>
      </c>
      <c r="C198" s="12" t="str">
        <f aca="false">IF('Carga Vigilador'!C198="","",'Carga Vigilador'!C198)</f>
        <v/>
      </c>
      <c r="D198" s="13" t="str">
        <f aca="false">IF('Carga Vigilador'!D198="","",'Carga Vigilador'!D198)</f>
        <v/>
      </c>
      <c r="E198" s="6" t="str">
        <f aca="false">IF('Carga Vigilador'!E198="","",'Carga Vigilador'!E198)</f>
        <v/>
      </c>
      <c r="F198" s="13" t="str">
        <f aca="false">IF('Carga Vigilador'!F198="","",'Carga Vigilador'!F198)</f>
        <v/>
      </c>
      <c r="G198" s="13" t="str">
        <f aca="false">IF('Carga Vigilador'!G198="","",'Carga Vigilador'!G198)</f>
        <v/>
      </c>
      <c r="H198" s="14"/>
      <c r="I198" s="15"/>
      <c r="J198" s="14"/>
      <c r="K198" s="15"/>
      <c r="L198" s="16"/>
      <c r="M198" s="17"/>
      <c r="N198" s="18" t="str">
        <f aca="false">IF(B198="","",IF(J198="Sí","Multa aplicada",IF(J198="No","Sin multa",IF(H198="Sí","Descargo enviado","Pendiente"))))</f>
        <v/>
      </c>
    </row>
    <row r="199" customFormat="false" ht="15" hidden="false" customHeight="false" outlineLevel="0" collapsed="false">
      <c r="A199" s="6" t="str">
        <f aca="false">IF('Carga Vigilador'!A199="","",'Carga Vigilador'!A199)</f>
        <v/>
      </c>
      <c r="B199" s="11" t="str">
        <f aca="false">IF('Carga Vigilador'!B199="","",'Carga Vigilador'!B199)</f>
        <v/>
      </c>
      <c r="C199" s="12" t="str">
        <f aca="false">IF('Carga Vigilador'!C199="","",'Carga Vigilador'!C199)</f>
        <v/>
      </c>
      <c r="D199" s="13" t="str">
        <f aca="false">IF('Carga Vigilador'!D199="","",'Carga Vigilador'!D199)</f>
        <v/>
      </c>
      <c r="E199" s="6" t="str">
        <f aca="false">IF('Carga Vigilador'!E199="","",'Carga Vigilador'!E199)</f>
        <v/>
      </c>
      <c r="F199" s="13" t="str">
        <f aca="false">IF('Carga Vigilador'!F199="","",'Carga Vigilador'!F199)</f>
        <v/>
      </c>
      <c r="G199" s="13" t="str">
        <f aca="false">IF('Carga Vigilador'!G199="","",'Carga Vigilador'!G199)</f>
        <v/>
      </c>
      <c r="H199" s="14"/>
      <c r="I199" s="15"/>
      <c r="J199" s="14"/>
      <c r="K199" s="15"/>
      <c r="L199" s="16"/>
      <c r="M199" s="17"/>
      <c r="N199" s="18" t="str">
        <f aca="false">IF(B199="","",IF(J199="Sí","Multa aplicada",IF(J199="No","Sin multa",IF(H199="Sí","Descargo enviado","Pendiente"))))</f>
        <v/>
      </c>
    </row>
    <row r="200" customFormat="false" ht="15" hidden="false" customHeight="false" outlineLevel="0" collapsed="false">
      <c r="A200" s="6" t="str">
        <f aca="false">IF('Carga Vigilador'!A200="","",'Carga Vigilador'!A200)</f>
        <v/>
      </c>
      <c r="B200" s="11" t="str">
        <f aca="false">IF('Carga Vigilador'!B200="","",'Carga Vigilador'!B200)</f>
        <v/>
      </c>
      <c r="C200" s="12" t="str">
        <f aca="false">IF('Carga Vigilador'!C200="","",'Carga Vigilador'!C200)</f>
        <v/>
      </c>
      <c r="D200" s="13" t="str">
        <f aca="false">IF('Carga Vigilador'!D200="","",'Carga Vigilador'!D200)</f>
        <v/>
      </c>
      <c r="E200" s="6" t="str">
        <f aca="false">IF('Carga Vigilador'!E200="","",'Carga Vigilador'!E200)</f>
        <v/>
      </c>
      <c r="F200" s="13" t="str">
        <f aca="false">IF('Carga Vigilador'!F200="","",'Carga Vigilador'!F200)</f>
        <v/>
      </c>
      <c r="G200" s="13" t="str">
        <f aca="false">IF('Carga Vigilador'!G200="","",'Carga Vigilador'!G200)</f>
        <v/>
      </c>
      <c r="H200" s="14"/>
      <c r="I200" s="15"/>
      <c r="J200" s="14"/>
      <c r="K200" s="15"/>
      <c r="L200" s="16"/>
      <c r="M200" s="17"/>
      <c r="N200" s="18" t="str">
        <f aca="false">IF(B200="","",IF(J200="Sí","Multa aplicada",IF(J200="No","Sin multa",IF(H200="Sí","Descargo enviado","Pendiente"))))</f>
        <v/>
      </c>
    </row>
    <row r="201" customFormat="false" ht="15" hidden="false" customHeight="false" outlineLevel="0" collapsed="false">
      <c r="A201" s="6" t="str">
        <f aca="false">IF('Carga Vigilador'!A201="","",'Carga Vigilador'!A201)</f>
        <v/>
      </c>
      <c r="B201" s="11" t="str">
        <f aca="false">IF('Carga Vigilador'!B201="","",'Carga Vigilador'!B201)</f>
        <v/>
      </c>
      <c r="C201" s="12" t="str">
        <f aca="false">IF('Carga Vigilador'!C201="","",'Carga Vigilador'!C201)</f>
        <v/>
      </c>
      <c r="D201" s="13" t="str">
        <f aca="false">IF('Carga Vigilador'!D201="","",'Carga Vigilador'!D201)</f>
        <v/>
      </c>
      <c r="E201" s="6" t="str">
        <f aca="false">IF('Carga Vigilador'!E201="","",'Carga Vigilador'!E201)</f>
        <v/>
      </c>
      <c r="F201" s="13" t="str">
        <f aca="false">IF('Carga Vigilador'!F201="","",'Carga Vigilador'!F201)</f>
        <v/>
      </c>
      <c r="G201" s="13" t="str">
        <f aca="false">IF('Carga Vigilador'!G201="","",'Carga Vigilador'!G201)</f>
        <v/>
      </c>
      <c r="H201" s="14"/>
      <c r="I201" s="15"/>
      <c r="J201" s="14"/>
      <c r="K201" s="15"/>
      <c r="L201" s="16"/>
      <c r="M201" s="17"/>
      <c r="N201" s="18" t="str">
        <f aca="false">IF(B201="","",IF(J201="Sí","Multa aplicada",IF(J201="No","Sin multa",IF(H201="Sí","Descargo enviado","Pendiente"))))</f>
        <v/>
      </c>
    </row>
    <row r="202" customFormat="false" ht="15" hidden="false" customHeight="false" outlineLevel="0" collapsed="false">
      <c r="A202" s="6" t="str">
        <f aca="false">IF('Carga Vigilador'!A202="","",'Carga Vigilador'!A202)</f>
        <v/>
      </c>
      <c r="B202" s="11" t="str">
        <f aca="false">IF('Carga Vigilador'!B202="","",'Carga Vigilador'!B202)</f>
        <v/>
      </c>
      <c r="C202" s="12" t="str">
        <f aca="false">IF('Carga Vigilador'!C202="","",'Carga Vigilador'!C202)</f>
        <v/>
      </c>
      <c r="D202" s="13" t="str">
        <f aca="false">IF('Carga Vigilador'!D202="","",'Carga Vigilador'!D202)</f>
        <v/>
      </c>
      <c r="E202" s="6" t="str">
        <f aca="false">IF('Carga Vigilador'!E202="","",'Carga Vigilador'!E202)</f>
        <v/>
      </c>
      <c r="F202" s="13" t="str">
        <f aca="false">IF('Carga Vigilador'!F202="","",'Carga Vigilador'!F202)</f>
        <v/>
      </c>
      <c r="G202" s="13" t="str">
        <f aca="false">IF('Carga Vigilador'!G202="","",'Carga Vigilador'!G202)</f>
        <v/>
      </c>
      <c r="H202" s="14"/>
      <c r="I202" s="15"/>
      <c r="J202" s="14"/>
      <c r="K202" s="15"/>
      <c r="L202" s="16"/>
      <c r="M202" s="17"/>
      <c r="N202" s="18" t="str">
        <f aca="false">IF(B202="","",IF(J202="Sí","Multa aplicada",IF(J202="No","Sin multa",IF(H202="Sí","Descargo enviado","Pendiente"))))</f>
        <v/>
      </c>
    </row>
    <row r="203" customFormat="false" ht="15" hidden="false" customHeight="false" outlineLevel="0" collapsed="false">
      <c r="A203" s="6" t="str">
        <f aca="false">IF('Carga Vigilador'!A203="","",'Carga Vigilador'!A203)</f>
        <v/>
      </c>
      <c r="B203" s="11" t="str">
        <f aca="false">IF('Carga Vigilador'!B203="","",'Carga Vigilador'!B203)</f>
        <v/>
      </c>
      <c r="C203" s="12" t="str">
        <f aca="false">IF('Carga Vigilador'!C203="","",'Carga Vigilador'!C203)</f>
        <v/>
      </c>
      <c r="D203" s="13" t="str">
        <f aca="false">IF('Carga Vigilador'!D203="","",'Carga Vigilador'!D203)</f>
        <v/>
      </c>
      <c r="E203" s="6" t="str">
        <f aca="false">IF('Carga Vigilador'!E203="","",'Carga Vigilador'!E203)</f>
        <v/>
      </c>
      <c r="F203" s="13" t="str">
        <f aca="false">IF('Carga Vigilador'!F203="","",'Carga Vigilador'!F203)</f>
        <v/>
      </c>
      <c r="G203" s="13" t="str">
        <f aca="false">IF('Carga Vigilador'!G203="","",'Carga Vigilador'!G203)</f>
        <v/>
      </c>
      <c r="H203" s="14"/>
      <c r="I203" s="15"/>
      <c r="J203" s="14"/>
      <c r="K203" s="15"/>
      <c r="L203" s="16"/>
      <c r="M203" s="17"/>
      <c r="N203" s="18" t="str">
        <f aca="false">IF(B203="","",IF(J203="Sí","Multa aplicada",IF(J203="No","Sin multa",IF(H203="Sí","Descargo enviado","Pendiente"))))</f>
        <v/>
      </c>
    </row>
    <row r="204" customFormat="false" ht="15" hidden="false" customHeight="false" outlineLevel="0" collapsed="false">
      <c r="A204" s="6" t="str">
        <f aca="false">IF('Carga Vigilador'!A204="","",'Carga Vigilador'!A204)</f>
        <v/>
      </c>
      <c r="B204" s="11" t="str">
        <f aca="false">IF('Carga Vigilador'!B204="","",'Carga Vigilador'!B204)</f>
        <v/>
      </c>
      <c r="C204" s="12" t="str">
        <f aca="false">IF('Carga Vigilador'!C204="","",'Carga Vigilador'!C204)</f>
        <v/>
      </c>
      <c r="D204" s="13" t="str">
        <f aca="false">IF('Carga Vigilador'!D204="","",'Carga Vigilador'!D204)</f>
        <v/>
      </c>
      <c r="E204" s="6" t="str">
        <f aca="false">IF('Carga Vigilador'!E204="","",'Carga Vigilador'!E204)</f>
        <v/>
      </c>
      <c r="F204" s="13" t="str">
        <f aca="false">IF('Carga Vigilador'!F204="","",'Carga Vigilador'!F204)</f>
        <v/>
      </c>
      <c r="G204" s="13" t="str">
        <f aca="false">IF('Carga Vigilador'!G204="","",'Carga Vigilador'!G204)</f>
        <v/>
      </c>
      <c r="H204" s="14"/>
      <c r="I204" s="15"/>
      <c r="J204" s="14"/>
      <c r="K204" s="15"/>
      <c r="L204" s="16"/>
      <c r="M204" s="17"/>
      <c r="N204" s="18" t="str">
        <f aca="false">IF(B204="","",IF(J204="Sí","Multa aplicada",IF(J204="No","Sin multa",IF(H204="Sí","Descargo enviado","Pendiente"))))</f>
        <v/>
      </c>
    </row>
    <row r="205" customFormat="false" ht="15" hidden="false" customHeight="false" outlineLevel="0" collapsed="false">
      <c r="A205" s="6" t="str">
        <f aca="false">IF('Carga Vigilador'!A205="","",'Carga Vigilador'!A205)</f>
        <v/>
      </c>
      <c r="B205" s="11" t="str">
        <f aca="false">IF('Carga Vigilador'!B205="","",'Carga Vigilador'!B205)</f>
        <v/>
      </c>
      <c r="C205" s="12" t="str">
        <f aca="false">IF('Carga Vigilador'!C205="","",'Carga Vigilador'!C205)</f>
        <v/>
      </c>
      <c r="D205" s="13" t="str">
        <f aca="false">IF('Carga Vigilador'!D205="","",'Carga Vigilador'!D205)</f>
        <v/>
      </c>
      <c r="E205" s="6" t="str">
        <f aca="false">IF('Carga Vigilador'!E205="","",'Carga Vigilador'!E205)</f>
        <v/>
      </c>
      <c r="F205" s="13" t="str">
        <f aca="false">IF('Carga Vigilador'!F205="","",'Carga Vigilador'!F205)</f>
        <v/>
      </c>
      <c r="G205" s="13" t="str">
        <f aca="false">IF('Carga Vigilador'!G205="","",'Carga Vigilador'!G205)</f>
        <v/>
      </c>
      <c r="H205" s="14"/>
      <c r="I205" s="15"/>
      <c r="J205" s="14"/>
      <c r="K205" s="15"/>
      <c r="L205" s="16"/>
      <c r="M205" s="17"/>
      <c r="N205" s="18" t="str">
        <f aca="false">IF(B205="","",IF(J205="Sí","Multa aplicada",IF(J205="No","Sin multa",IF(H205="Sí","Descargo enviado","Pendiente"))))</f>
        <v/>
      </c>
    </row>
    <row r="206" customFormat="false" ht="15" hidden="false" customHeight="false" outlineLevel="0" collapsed="false">
      <c r="A206" s="6" t="str">
        <f aca="false">IF('Carga Vigilador'!A206="","",'Carga Vigilador'!A206)</f>
        <v/>
      </c>
      <c r="B206" s="11" t="str">
        <f aca="false">IF('Carga Vigilador'!B206="","",'Carga Vigilador'!B206)</f>
        <v/>
      </c>
      <c r="C206" s="12" t="str">
        <f aca="false">IF('Carga Vigilador'!C206="","",'Carga Vigilador'!C206)</f>
        <v/>
      </c>
      <c r="D206" s="13" t="str">
        <f aca="false">IF('Carga Vigilador'!D206="","",'Carga Vigilador'!D206)</f>
        <v/>
      </c>
      <c r="E206" s="6" t="str">
        <f aca="false">IF('Carga Vigilador'!E206="","",'Carga Vigilador'!E206)</f>
        <v/>
      </c>
      <c r="F206" s="13" t="str">
        <f aca="false">IF('Carga Vigilador'!F206="","",'Carga Vigilador'!F206)</f>
        <v/>
      </c>
      <c r="G206" s="13" t="str">
        <f aca="false">IF('Carga Vigilador'!G206="","",'Carga Vigilador'!G206)</f>
        <v/>
      </c>
      <c r="H206" s="14"/>
      <c r="I206" s="15"/>
      <c r="J206" s="14"/>
      <c r="K206" s="15"/>
      <c r="L206" s="16"/>
      <c r="M206" s="17"/>
      <c r="N206" s="18" t="str">
        <f aca="false">IF(B206="","",IF(J206="Sí","Multa aplicada",IF(J206="No","Sin multa",IF(H206="Sí","Descargo enviado","Pendiente"))))</f>
        <v/>
      </c>
    </row>
    <row r="207" customFormat="false" ht="15" hidden="false" customHeight="false" outlineLevel="0" collapsed="false">
      <c r="A207" s="6" t="str">
        <f aca="false">IF('Carga Vigilador'!A207="","",'Carga Vigilador'!A207)</f>
        <v/>
      </c>
      <c r="B207" s="11" t="str">
        <f aca="false">IF('Carga Vigilador'!B207="","",'Carga Vigilador'!B207)</f>
        <v/>
      </c>
      <c r="C207" s="12" t="str">
        <f aca="false">IF('Carga Vigilador'!C207="","",'Carga Vigilador'!C207)</f>
        <v/>
      </c>
      <c r="D207" s="13" t="str">
        <f aca="false">IF('Carga Vigilador'!D207="","",'Carga Vigilador'!D207)</f>
        <v/>
      </c>
      <c r="E207" s="6" t="str">
        <f aca="false">IF('Carga Vigilador'!E207="","",'Carga Vigilador'!E207)</f>
        <v/>
      </c>
      <c r="F207" s="13" t="str">
        <f aca="false">IF('Carga Vigilador'!F207="","",'Carga Vigilador'!F207)</f>
        <v/>
      </c>
      <c r="G207" s="13" t="str">
        <f aca="false">IF('Carga Vigilador'!G207="","",'Carga Vigilador'!G207)</f>
        <v/>
      </c>
      <c r="H207" s="14"/>
      <c r="I207" s="15"/>
      <c r="J207" s="14"/>
      <c r="K207" s="15"/>
      <c r="L207" s="16"/>
      <c r="M207" s="17"/>
      <c r="N207" s="18" t="str">
        <f aca="false">IF(B207="","",IF(J207="Sí","Multa aplicada",IF(J207="No","Sin multa",IF(H207="Sí","Descargo enviado","Pendiente"))))</f>
        <v/>
      </c>
    </row>
    <row r="208" customFormat="false" ht="15" hidden="false" customHeight="false" outlineLevel="0" collapsed="false">
      <c r="A208" s="6" t="str">
        <f aca="false">IF('Carga Vigilador'!A208="","",'Carga Vigilador'!A208)</f>
        <v/>
      </c>
      <c r="B208" s="11" t="str">
        <f aca="false">IF('Carga Vigilador'!B208="","",'Carga Vigilador'!B208)</f>
        <v/>
      </c>
      <c r="C208" s="12" t="str">
        <f aca="false">IF('Carga Vigilador'!C208="","",'Carga Vigilador'!C208)</f>
        <v/>
      </c>
      <c r="D208" s="13" t="str">
        <f aca="false">IF('Carga Vigilador'!D208="","",'Carga Vigilador'!D208)</f>
        <v/>
      </c>
      <c r="E208" s="6" t="str">
        <f aca="false">IF('Carga Vigilador'!E208="","",'Carga Vigilador'!E208)</f>
        <v/>
      </c>
      <c r="F208" s="13" t="str">
        <f aca="false">IF('Carga Vigilador'!F208="","",'Carga Vigilador'!F208)</f>
        <v/>
      </c>
      <c r="G208" s="13" t="str">
        <f aca="false">IF('Carga Vigilador'!G208="","",'Carga Vigilador'!G208)</f>
        <v/>
      </c>
      <c r="H208" s="14"/>
      <c r="I208" s="15"/>
      <c r="J208" s="14"/>
      <c r="K208" s="15"/>
      <c r="L208" s="16"/>
      <c r="M208" s="17"/>
      <c r="N208" s="18" t="str">
        <f aca="false">IF(B208="","",IF(J208="Sí","Multa aplicada",IF(J208="No","Sin multa",IF(H208="Sí","Descargo enviado","Pendiente"))))</f>
        <v/>
      </c>
    </row>
    <row r="209" customFormat="false" ht="15" hidden="false" customHeight="false" outlineLevel="0" collapsed="false">
      <c r="A209" s="6" t="str">
        <f aca="false">IF('Carga Vigilador'!A209="","",'Carga Vigilador'!A209)</f>
        <v/>
      </c>
      <c r="B209" s="11" t="str">
        <f aca="false">IF('Carga Vigilador'!B209="","",'Carga Vigilador'!B209)</f>
        <v/>
      </c>
      <c r="C209" s="12" t="str">
        <f aca="false">IF('Carga Vigilador'!C209="","",'Carga Vigilador'!C209)</f>
        <v/>
      </c>
      <c r="D209" s="13" t="str">
        <f aca="false">IF('Carga Vigilador'!D209="","",'Carga Vigilador'!D209)</f>
        <v/>
      </c>
      <c r="E209" s="6" t="str">
        <f aca="false">IF('Carga Vigilador'!E209="","",'Carga Vigilador'!E209)</f>
        <v/>
      </c>
      <c r="F209" s="13" t="str">
        <f aca="false">IF('Carga Vigilador'!F209="","",'Carga Vigilador'!F209)</f>
        <v/>
      </c>
      <c r="G209" s="13" t="str">
        <f aca="false">IF('Carga Vigilador'!G209="","",'Carga Vigilador'!G209)</f>
        <v/>
      </c>
      <c r="H209" s="14"/>
      <c r="I209" s="15"/>
      <c r="J209" s="14"/>
      <c r="K209" s="15"/>
      <c r="L209" s="16"/>
      <c r="M209" s="17"/>
      <c r="N209" s="18" t="str">
        <f aca="false">IF(B209="","",IF(J209="Sí","Multa aplicada",IF(J209="No","Sin multa",IF(H209="Sí","Descargo enviado","Pendiente"))))</f>
        <v/>
      </c>
    </row>
    <row r="210" customFormat="false" ht="15" hidden="false" customHeight="false" outlineLevel="0" collapsed="false">
      <c r="A210" s="6" t="str">
        <f aca="false">IF('Carga Vigilador'!A210="","",'Carga Vigilador'!A210)</f>
        <v/>
      </c>
      <c r="B210" s="11" t="str">
        <f aca="false">IF('Carga Vigilador'!B210="","",'Carga Vigilador'!B210)</f>
        <v/>
      </c>
      <c r="C210" s="12" t="str">
        <f aca="false">IF('Carga Vigilador'!C210="","",'Carga Vigilador'!C210)</f>
        <v/>
      </c>
      <c r="D210" s="13" t="str">
        <f aca="false">IF('Carga Vigilador'!D210="","",'Carga Vigilador'!D210)</f>
        <v/>
      </c>
      <c r="E210" s="6" t="str">
        <f aca="false">IF('Carga Vigilador'!E210="","",'Carga Vigilador'!E210)</f>
        <v/>
      </c>
      <c r="F210" s="13" t="str">
        <f aca="false">IF('Carga Vigilador'!F210="","",'Carga Vigilador'!F210)</f>
        <v/>
      </c>
      <c r="G210" s="13" t="str">
        <f aca="false">IF('Carga Vigilador'!G210="","",'Carga Vigilador'!G210)</f>
        <v/>
      </c>
      <c r="H210" s="14"/>
      <c r="I210" s="15"/>
      <c r="J210" s="14"/>
      <c r="K210" s="15"/>
      <c r="L210" s="16"/>
      <c r="M210" s="17"/>
      <c r="N210" s="18" t="str">
        <f aca="false">IF(B210="","",IF(J210="Sí","Multa aplicada",IF(J210="No","Sin multa",IF(H210="Sí","Descargo enviado","Pendiente"))))</f>
        <v/>
      </c>
    </row>
    <row r="211" customFormat="false" ht="15" hidden="false" customHeight="false" outlineLevel="0" collapsed="false">
      <c r="A211" s="6" t="str">
        <f aca="false">IF('Carga Vigilador'!A211="","",'Carga Vigilador'!A211)</f>
        <v/>
      </c>
      <c r="B211" s="11" t="str">
        <f aca="false">IF('Carga Vigilador'!B211="","",'Carga Vigilador'!B211)</f>
        <v/>
      </c>
      <c r="C211" s="12" t="str">
        <f aca="false">IF('Carga Vigilador'!C211="","",'Carga Vigilador'!C211)</f>
        <v/>
      </c>
      <c r="D211" s="13" t="str">
        <f aca="false">IF('Carga Vigilador'!D211="","",'Carga Vigilador'!D211)</f>
        <v/>
      </c>
      <c r="E211" s="6" t="str">
        <f aca="false">IF('Carga Vigilador'!E211="","",'Carga Vigilador'!E211)</f>
        <v/>
      </c>
      <c r="F211" s="13" t="str">
        <f aca="false">IF('Carga Vigilador'!F211="","",'Carga Vigilador'!F211)</f>
        <v/>
      </c>
      <c r="G211" s="13" t="str">
        <f aca="false">IF('Carga Vigilador'!G211="","",'Carga Vigilador'!G211)</f>
        <v/>
      </c>
      <c r="H211" s="14"/>
      <c r="I211" s="15"/>
      <c r="J211" s="14"/>
      <c r="K211" s="15"/>
      <c r="L211" s="16"/>
      <c r="M211" s="17"/>
      <c r="N211" s="18" t="str">
        <f aca="false">IF(B211="","",IF(J211="Sí","Multa aplicada",IF(J211="No","Sin multa",IF(H211="Sí","Descargo enviado","Pendiente"))))</f>
        <v/>
      </c>
    </row>
    <row r="212" customFormat="false" ht="15" hidden="false" customHeight="false" outlineLevel="0" collapsed="false">
      <c r="A212" s="6" t="str">
        <f aca="false">IF('Carga Vigilador'!A212="","",'Carga Vigilador'!A212)</f>
        <v/>
      </c>
      <c r="B212" s="11" t="str">
        <f aca="false">IF('Carga Vigilador'!B212="","",'Carga Vigilador'!B212)</f>
        <v/>
      </c>
      <c r="C212" s="12" t="str">
        <f aca="false">IF('Carga Vigilador'!C212="","",'Carga Vigilador'!C212)</f>
        <v/>
      </c>
      <c r="D212" s="13" t="str">
        <f aca="false">IF('Carga Vigilador'!D212="","",'Carga Vigilador'!D212)</f>
        <v/>
      </c>
      <c r="E212" s="6" t="str">
        <f aca="false">IF('Carga Vigilador'!E212="","",'Carga Vigilador'!E212)</f>
        <v/>
      </c>
      <c r="F212" s="13" t="str">
        <f aca="false">IF('Carga Vigilador'!F212="","",'Carga Vigilador'!F212)</f>
        <v/>
      </c>
      <c r="G212" s="13" t="str">
        <f aca="false">IF('Carga Vigilador'!G212="","",'Carga Vigilador'!G212)</f>
        <v/>
      </c>
      <c r="H212" s="14"/>
      <c r="I212" s="15"/>
      <c r="J212" s="14"/>
      <c r="K212" s="15"/>
      <c r="L212" s="16"/>
      <c r="M212" s="17"/>
      <c r="N212" s="18" t="str">
        <f aca="false">IF(B212="","",IF(J212="Sí","Multa aplicada",IF(J212="No","Sin multa",IF(H212="Sí","Descargo enviado","Pendiente"))))</f>
        <v/>
      </c>
    </row>
    <row r="213" customFormat="false" ht="15" hidden="false" customHeight="false" outlineLevel="0" collapsed="false">
      <c r="A213" s="6" t="str">
        <f aca="false">IF('Carga Vigilador'!A213="","",'Carga Vigilador'!A213)</f>
        <v/>
      </c>
      <c r="B213" s="11" t="str">
        <f aca="false">IF('Carga Vigilador'!B213="","",'Carga Vigilador'!B213)</f>
        <v/>
      </c>
      <c r="C213" s="12" t="str">
        <f aca="false">IF('Carga Vigilador'!C213="","",'Carga Vigilador'!C213)</f>
        <v/>
      </c>
      <c r="D213" s="13" t="str">
        <f aca="false">IF('Carga Vigilador'!D213="","",'Carga Vigilador'!D213)</f>
        <v/>
      </c>
      <c r="E213" s="6" t="str">
        <f aca="false">IF('Carga Vigilador'!E213="","",'Carga Vigilador'!E213)</f>
        <v/>
      </c>
      <c r="F213" s="13" t="str">
        <f aca="false">IF('Carga Vigilador'!F213="","",'Carga Vigilador'!F213)</f>
        <v/>
      </c>
      <c r="G213" s="13" t="str">
        <f aca="false">IF('Carga Vigilador'!G213="","",'Carga Vigilador'!G213)</f>
        <v/>
      </c>
      <c r="H213" s="14"/>
      <c r="I213" s="15"/>
      <c r="J213" s="14"/>
      <c r="K213" s="15"/>
      <c r="L213" s="16"/>
      <c r="M213" s="17"/>
      <c r="N213" s="18" t="str">
        <f aca="false">IF(B213="","",IF(J213="Sí","Multa aplicada",IF(J213="No","Sin multa",IF(H213="Sí","Descargo enviado","Pendiente"))))</f>
        <v/>
      </c>
    </row>
    <row r="214" customFormat="false" ht="15" hidden="false" customHeight="false" outlineLevel="0" collapsed="false">
      <c r="A214" s="6" t="str">
        <f aca="false">IF('Carga Vigilador'!A214="","",'Carga Vigilador'!A214)</f>
        <v/>
      </c>
      <c r="B214" s="11" t="str">
        <f aca="false">IF('Carga Vigilador'!B214="","",'Carga Vigilador'!B214)</f>
        <v/>
      </c>
      <c r="C214" s="12" t="str">
        <f aca="false">IF('Carga Vigilador'!C214="","",'Carga Vigilador'!C214)</f>
        <v/>
      </c>
      <c r="D214" s="13" t="str">
        <f aca="false">IF('Carga Vigilador'!D214="","",'Carga Vigilador'!D214)</f>
        <v/>
      </c>
      <c r="E214" s="6" t="str">
        <f aca="false">IF('Carga Vigilador'!E214="","",'Carga Vigilador'!E214)</f>
        <v/>
      </c>
      <c r="F214" s="13" t="str">
        <f aca="false">IF('Carga Vigilador'!F214="","",'Carga Vigilador'!F214)</f>
        <v/>
      </c>
      <c r="G214" s="13" t="str">
        <f aca="false">IF('Carga Vigilador'!G214="","",'Carga Vigilador'!G214)</f>
        <v/>
      </c>
      <c r="H214" s="14"/>
      <c r="I214" s="15"/>
      <c r="J214" s="14"/>
      <c r="K214" s="15"/>
      <c r="L214" s="16"/>
      <c r="M214" s="17"/>
      <c r="N214" s="18" t="str">
        <f aca="false">IF(B214="","",IF(J214="Sí","Multa aplicada",IF(J214="No","Sin multa",IF(H214="Sí","Descargo enviado","Pendiente"))))</f>
        <v/>
      </c>
    </row>
    <row r="215" customFormat="false" ht="15" hidden="false" customHeight="false" outlineLevel="0" collapsed="false">
      <c r="A215" s="6" t="str">
        <f aca="false">IF('Carga Vigilador'!A215="","",'Carga Vigilador'!A215)</f>
        <v/>
      </c>
      <c r="B215" s="11" t="str">
        <f aca="false">IF('Carga Vigilador'!B215="","",'Carga Vigilador'!B215)</f>
        <v/>
      </c>
      <c r="C215" s="12" t="str">
        <f aca="false">IF('Carga Vigilador'!C215="","",'Carga Vigilador'!C215)</f>
        <v/>
      </c>
      <c r="D215" s="13" t="str">
        <f aca="false">IF('Carga Vigilador'!D215="","",'Carga Vigilador'!D215)</f>
        <v/>
      </c>
      <c r="E215" s="6" t="str">
        <f aca="false">IF('Carga Vigilador'!E215="","",'Carga Vigilador'!E215)</f>
        <v/>
      </c>
      <c r="F215" s="13" t="str">
        <f aca="false">IF('Carga Vigilador'!F215="","",'Carga Vigilador'!F215)</f>
        <v/>
      </c>
      <c r="G215" s="13" t="str">
        <f aca="false">IF('Carga Vigilador'!G215="","",'Carga Vigilador'!G215)</f>
        <v/>
      </c>
      <c r="H215" s="14"/>
      <c r="I215" s="15"/>
      <c r="J215" s="14"/>
      <c r="K215" s="15"/>
      <c r="L215" s="16"/>
      <c r="M215" s="17"/>
      <c r="N215" s="18" t="str">
        <f aca="false">IF(B215="","",IF(J215="Sí","Multa aplicada",IF(J215="No","Sin multa",IF(H215="Sí","Descargo enviado","Pendiente"))))</f>
        <v/>
      </c>
    </row>
    <row r="216" customFormat="false" ht="15" hidden="false" customHeight="false" outlineLevel="0" collapsed="false">
      <c r="A216" s="6" t="str">
        <f aca="false">IF('Carga Vigilador'!A216="","",'Carga Vigilador'!A216)</f>
        <v/>
      </c>
      <c r="B216" s="11" t="str">
        <f aca="false">IF('Carga Vigilador'!B216="","",'Carga Vigilador'!B216)</f>
        <v/>
      </c>
      <c r="C216" s="12" t="str">
        <f aca="false">IF('Carga Vigilador'!C216="","",'Carga Vigilador'!C216)</f>
        <v/>
      </c>
      <c r="D216" s="13" t="str">
        <f aca="false">IF('Carga Vigilador'!D216="","",'Carga Vigilador'!D216)</f>
        <v/>
      </c>
      <c r="E216" s="6" t="str">
        <f aca="false">IF('Carga Vigilador'!E216="","",'Carga Vigilador'!E216)</f>
        <v/>
      </c>
      <c r="F216" s="13" t="str">
        <f aca="false">IF('Carga Vigilador'!F216="","",'Carga Vigilador'!F216)</f>
        <v/>
      </c>
      <c r="G216" s="13" t="str">
        <f aca="false">IF('Carga Vigilador'!G216="","",'Carga Vigilador'!G216)</f>
        <v/>
      </c>
      <c r="H216" s="14"/>
      <c r="I216" s="15"/>
      <c r="J216" s="14"/>
      <c r="K216" s="15"/>
      <c r="L216" s="16"/>
      <c r="M216" s="17"/>
      <c r="N216" s="18" t="str">
        <f aca="false">IF(B216="","",IF(J216="Sí","Multa aplicada",IF(J216="No","Sin multa",IF(H216="Sí","Descargo enviado","Pendiente"))))</f>
        <v/>
      </c>
    </row>
    <row r="217" customFormat="false" ht="15" hidden="false" customHeight="false" outlineLevel="0" collapsed="false">
      <c r="A217" s="6" t="str">
        <f aca="false">IF('Carga Vigilador'!A217="","",'Carga Vigilador'!A217)</f>
        <v/>
      </c>
      <c r="B217" s="11" t="str">
        <f aca="false">IF('Carga Vigilador'!B217="","",'Carga Vigilador'!B217)</f>
        <v/>
      </c>
      <c r="C217" s="12" t="str">
        <f aca="false">IF('Carga Vigilador'!C217="","",'Carga Vigilador'!C217)</f>
        <v/>
      </c>
      <c r="D217" s="13" t="str">
        <f aca="false">IF('Carga Vigilador'!D217="","",'Carga Vigilador'!D217)</f>
        <v/>
      </c>
      <c r="E217" s="6" t="str">
        <f aca="false">IF('Carga Vigilador'!E217="","",'Carga Vigilador'!E217)</f>
        <v/>
      </c>
      <c r="F217" s="13" t="str">
        <f aca="false">IF('Carga Vigilador'!F217="","",'Carga Vigilador'!F217)</f>
        <v/>
      </c>
      <c r="G217" s="13" t="str">
        <f aca="false">IF('Carga Vigilador'!G217="","",'Carga Vigilador'!G217)</f>
        <v/>
      </c>
      <c r="H217" s="14"/>
      <c r="I217" s="15"/>
      <c r="J217" s="14"/>
      <c r="K217" s="15"/>
      <c r="L217" s="16"/>
      <c r="M217" s="17"/>
      <c r="N217" s="18" t="str">
        <f aca="false">IF(B217="","",IF(J217="Sí","Multa aplicada",IF(J217="No","Sin multa",IF(H217="Sí","Descargo enviado","Pendiente"))))</f>
        <v/>
      </c>
    </row>
    <row r="218" customFormat="false" ht="15" hidden="false" customHeight="false" outlineLevel="0" collapsed="false">
      <c r="A218" s="6" t="str">
        <f aca="false">IF('Carga Vigilador'!A218="","",'Carga Vigilador'!A218)</f>
        <v/>
      </c>
      <c r="B218" s="11" t="str">
        <f aca="false">IF('Carga Vigilador'!B218="","",'Carga Vigilador'!B218)</f>
        <v/>
      </c>
      <c r="C218" s="12" t="str">
        <f aca="false">IF('Carga Vigilador'!C218="","",'Carga Vigilador'!C218)</f>
        <v/>
      </c>
      <c r="D218" s="13" t="str">
        <f aca="false">IF('Carga Vigilador'!D218="","",'Carga Vigilador'!D218)</f>
        <v/>
      </c>
      <c r="E218" s="6" t="str">
        <f aca="false">IF('Carga Vigilador'!E218="","",'Carga Vigilador'!E218)</f>
        <v/>
      </c>
      <c r="F218" s="13" t="str">
        <f aca="false">IF('Carga Vigilador'!F218="","",'Carga Vigilador'!F218)</f>
        <v/>
      </c>
      <c r="G218" s="13" t="str">
        <f aca="false">IF('Carga Vigilador'!G218="","",'Carga Vigilador'!G218)</f>
        <v/>
      </c>
      <c r="H218" s="14"/>
      <c r="I218" s="15"/>
      <c r="J218" s="14"/>
      <c r="K218" s="15"/>
      <c r="L218" s="16"/>
      <c r="M218" s="17"/>
      <c r="N218" s="18" t="str">
        <f aca="false">IF(B218="","",IF(J218="Sí","Multa aplicada",IF(J218="No","Sin multa",IF(H218="Sí","Descargo enviado","Pendiente"))))</f>
        <v/>
      </c>
    </row>
    <row r="219" customFormat="false" ht="15" hidden="false" customHeight="false" outlineLevel="0" collapsed="false">
      <c r="A219" s="6" t="str">
        <f aca="false">IF('Carga Vigilador'!A219="","",'Carga Vigilador'!A219)</f>
        <v/>
      </c>
      <c r="B219" s="11" t="str">
        <f aca="false">IF('Carga Vigilador'!B219="","",'Carga Vigilador'!B219)</f>
        <v/>
      </c>
      <c r="C219" s="12" t="str">
        <f aca="false">IF('Carga Vigilador'!C219="","",'Carga Vigilador'!C219)</f>
        <v/>
      </c>
      <c r="D219" s="13" t="str">
        <f aca="false">IF('Carga Vigilador'!D219="","",'Carga Vigilador'!D219)</f>
        <v/>
      </c>
      <c r="E219" s="6" t="str">
        <f aca="false">IF('Carga Vigilador'!E219="","",'Carga Vigilador'!E219)</f>
        <v/>
      </c>
      <c r="F219" s="13" t="str">
        <f aca="false">IF('Carga Vigilador'!F219="","",'Carga Vigilador'!F219)</f>
        <v/>
      </c>
      <c r="G219" s="13" t="str">
        <f aca="false">IF('Carga Vigilador'!G219="","",'Carga Vigilador'!G219)</f>
        <v/>
      </c>
      <c r="H219" s="14"/>
      <c r="I219" s="15"/>
      <c r="J219" s="14"/>
      <c r="K219" s="15"/>
      <c r="L219" s="16"/>
      <c r="M219" s="17"/>
      <c r="N219" s="18" t="str">
        <f aca="false">IF(B219="","",IF(J219="Sí","Multa aplicada",IF(J219="No","Sin multa",IF(H219="Sí","Descargo enviado","Pendiente"))))</f>
        <v/>
      </c>
    </row>
    <row r="220" customFormat="false" ht="15" hidden="false" customHeight="false" outlineLevel="0" collapsed="false">
      <c r="A220" s="6" t="str">
        <f aca="false">IF('Carga Vigilador'!A220="","",'Carga Vigilador'!A220)</f>
        <v/>
      </c>
      <c r="B220" s="11" t="str">
        <f aca="false">IF('Carga Vigilador'!B220="","",'Carga Vigilador'!B220)</f>
        <v/>
      </c>
      <c r="C220" s="12" t="str">
        <f aca="false">IF('Carga Vigilador'!C220="","",'Carga Vigilador'!C220)</f>
        <v/>
      </c>
      <c r="D220" s="13" t="str">
        <f aca="false">IF('Carga Vigilador'!D220="","",'Carga Vigilador'!D220)</f>
        <v/>
      </c>
      <c r="E220" s="6" t="str">
        <f aca="false">IF('Carga Vigilador'!E220="","",'Carga Vigilador'!E220)</f>
        <v/>
      </c>
      <c r="F220" s="13" t="str">
        <f aca="false">IF('Carga Vigilador'!F220="","",'Carga Vigilador'!F220)</f>
        <v/>
      </c>
      <c r="G220" s="13" t="str">
        <f aca="false">IF('Carga Vigilador'!G220="","",'Carga Vigilador'!G220)</f>
        <v/>
      </c>
      <c r="H220" s="14"/>
      <c r="I220" s="15"/>
      <c r="J220" s="14"/>
      <c r="K220" s="15"/>
      <c r="L220" s="16"/>
      <c r="M220" s="17"/>
      <c r="N220" s="18" t="str">
        <f aca="false">IF(B220="","",IF(J220="Sí","Multa aplicada",IF(J220="No","Sin multa",IF(H220="Sí","Descargo enviado","Pendiente"))))</f>
        <v/>
      </c>
    </row>
    <row r="221" customFormat="false" ht="15" hidden="false" customHeight="false" outlineLevel="0" collapsed="false">
      <c r="A221" s="6" t="str">
        <f aca="false">IF('Carga Vigilador'!A221="","",'Carga Vigilador'!A221)</f>
        <v/>
      </c>
      <c r="B221" s="11" t="str">
        <f aca="false">IF('Carga Vigilador'!B221="","",'Carga Vigilador'!B221)</f>
        <v/>
      </c>
      <c r="C221" s="12" t="str">
        <f aca="false">IF('Carga Vigilador'!C221="","",'Carga Vigilador'!C221)</f>
        <v/>
      </c>
      <c r="D221" s="13" t="str">
        <f aca="false">IF('Carga Vigilador'!D221="","",'Carga Vigilador'!D221)</f>
        <v/>
      </c>
      <c r="E221" s="6" t="str">
        <f aca="false">IF('Carga Vigilador'!E221="","",'Carga Vigilador'!E221)</f>
        <v/>
      </c>
      <c r="F221" s="13" t="str">
        <f aca="false">IF('Carga Vigilador'!F221="","",'Carga Vigilador'!F221)</f>
        <v/>
      </c>
      <c r="G221" s="13" t="str">
        <f aca="false">IF('Carga Vigilador'!G221="","",'Carga Vigilador'!G221)</f>
        <v/>
      </c>
      <c r="H221" s="14"/>
      <c r="I221" s="15"/>
      <c r="J221" s="14"/>
      <c r="K221" s="15"/>
      <c r="L221" s="16"/>
      <c r="M221" s="17"/>
      <c r="N221" s="18" t="str">
        <f aca="false">IF(B221="","",IF(J221="Sí","Multa aplicada",IF(J221="No","Sin multa",IF(H221="Sí","Descargo enviado","Pendiente"))))</f>
        <v/>
      </c>
    </row>
    <row r="222" customFormat="false" ht="15" hidden="false" customHeight="false" outlineLevel="0" collapsed="false">
      <c r="A222" s="6" t="str">
        <f aca="false">IF('Carga Vigilador'!A222="","",'Carga Vigilador'!A222)</f>
        <v/>
      </c>
      <c r="B222" s="11" t="str">
        <f aca="false">IF('Carga Vigilador'!B222="","",'Carga Vigilador'!B222)</f>
        <v/>
      </c>
      <c r="C222" s="12" t="str">
        <f aca="false">IF('Carga Vigilador'!C222="","",'Carga Vigilador'!C222)</f>
        <v/>
      </c>
      <c r="D222" s="13" t="str">
        <f aca="false">IF('Carga Vigilador'!D222="","",'Carga Vigilador'!D222)</f>
        <v/>
      </c>
      <c r="E222" s="6" t="str">
        <f aca="false">IF('Carga Vigilador'!E222="","",'Carga Vigilador'!E222)</f>
        <v/>
      </c>
      <c r="F222" s="13" t="str">
        <f aca="false">IF('Carga Vigilador'!F222="","",'Carga Vigilador'!F222)</f>
        <v/>
      </c>
      <c r="G222" s="13" t="str">
        <f aca="false">IF('Carga Vigilador'!G222="","",'Carga Vigilador'!G222)</f>
        <v/>
      </c>
      <c r="H222" s="14"/>
      <c r="I222" s="15"/>
      <c r="J222" s="14"/>
      <c r="K222" s="15"/>
      <c r="L222" s="16"/>
      <c r="M222" s="17"/>
      <c r="N222" s="18" t="str">
        <f aca="false">IF(B222="","",IF(J222="Sí","Multa aplicada",IF(J222="No","Sin multa",IF(H222="Sí","Descargo enviado","Pendiente"))))</f>
        <v/>
      </c>
    </row>
    <row r="223" customFormat="false" ht="15" hidden="false" customHeight="false" outlineLevel="0" collapsed="false">
      <c r="A223" s="6" t="str">
        <f aca="false">IF('Carga Vigilador'!A223="","",'Carga Vigilador'!A223)</f>
        <v/>
      </c>
      <c r="B223" s="11" t="str">
        <f aca="false">IF('Carga Vigilador'!B223="","",'Carga Vigilador'!B223)</f>
        <v/>
      </c>
      <c r="C223" s="12" t="str">
        <f aca="false">IF('Carga Vigilador'!C223="","",'Carga Vigilador'!C223)</f>
        <v/>
      </c>
      <c r="D223" s="13" t="str">
        <f aca="false">IF('Carga Vigilador'!D223="","",'Carga Vigilador'!D223)</f>
        <v/>
      </c>
      <c r="E223" s="6" t="str">
        <f aca="false">IF('Carga Vigilador'!E223="","",'Carga Vigilador'!E223)</f>
        <v/>
      </c>
      <c r="F223" s="13" t="str">
        <f aca="false">IF('Carga Vigilador'!F223="","",'Carga Vigilador'!F223)</f>
        <v/>
      </c>
      <c r="G223" s="13" t="str">
        <f aca="false">IF('Carga Vigilador'!G223="","",'Carga Vigilador'!G223)</f>
        <v/>
      </c>
      <c r="H223" s="14"/>
      <c r="I223" s="15"/>
      <c r="J223" s="14"/>
      <c r="K223" s="15"/>
      <c r="L223" s="16"/>
      <c r="M223" s="17"/>
      <c r="N223" s="18" t="str">
        <f aca="false">IF(B223="","",IF(J223="Sí","Multa aplicada",IF(J223="No","Sin multa",IF(H223="Sí","Descargo enviado","Pendiente"))))</f>
        <v/>
      </c>
    </row>
    <row r="224" customFormat="false" ht="15" hidden="false" customHeight="false" outlineLevel="0" collapsed="false">
      <c r="A224" s="6" t="str">
        <f aca="false">IF('Carga Vigilador'!A224="","",'Carga Vigilador'!A224)</f>
        <v/>
      </c>
      <c r="B224" s="11" t="str">
        <f aca="false">IF('Carga Vigilador'!B224="","",'Carga Vigilador'!B224)</f>
        <v/>
      </c>
      <c r="C224" s="12" t="str">
        <f aca="false">IF('Carga Vigilador'!C224="","",'Carga Vigilador'!C224)</f>
        <v/>
      </c>
      <c r="D224" s="13" t="str">
        <f aca="false">IF('Carga Vigilador'!D224="","",'Carga Vigilador'!D224)</f>
        <v/>
      </c>
      <c r="E224" s="6" t="str">
        <f aca="false">IF('Carga Vigilador'!E224="","",'Carga Vigilador'!E224)</f>
        <v/>
      </c>
      <c r="F224" s="13" t="str">
        <f aca="false">IF('Carga Vigilador'!F224="","",'Carga Vigilador'!F224)</f>
        <v/>
      </c>
      <c r="G224" s="13" t="str">
        <f aca="false">IF('Carga Vigilador'!G224="","",'Carga Vigilador'!G224)</f>
        <v/>
      </c>
      <c r="H224" s="14"/>
      <c r="I224" s="15"/>
      <c r="J224" s="14"/>
      <c r="K224" s="15"/>
      <c r="L224" s="16"/>
      <c r="M224" s="17"/>
      <c r="N224" s="18" t="str">
        <f aca="false">IF(B224="","",IF(J224="Sí","Multa aplicada",IF(J224="No","Sin multa",IF(H224="Sí","Descargo enviado","Pendiente"))))</f>
        <v/>
      </c>
    </row>
    <row r="225" customFormat="false" ht="15" hidden="false" customHeight="false" outlineLevel="0" collapsed="false">
      <c r="A225" s="6" t="str">
        <f aca="false">IF('Carga Vigilador'!A225="","",'Carga Vigilador'!A225)</f>
        <v/>
      </c>
      <c r="B225" s="11" t="str">
        <f aca="false">IF('Carga Vigilador'!B225="","",'Carga Vigilador'!B225)</f>
        <v/>
      </c>
      <c r="C225" s="12" t="str">
        <f aca="false">IF('Carga Vigilador'!C225="","",'Carga Vigilador'!C225)</f>
        <v/>
      </c>
      <c r="D225" s="13" t="str">
        <f aca="false">IF('Carga Vigilador'!D225="","",'Carga Vigilador'!D225)</f>
        <v/>
      </c>
      <c r="E225" s="6" t="str">
        <f aca="false">IF('Carga Vigilador'!E225="","",'Carga Vigilador'!E225)</f>
        <v/>
      </c>
      <c r="F225" s="13" t="str">
        <f aca="false">IF('Carga Vigilador'!F225="","",'Carga Vigilador'!F225)</f>
        <v/>
      </c>
      <c r="G225" s="13" t="str">
        <f aca="false">IF('Carga Vigilador'!G225="","",'Carga Vigilador'!G225)</f>
        <v/>
      </c>
      <c r="H225" s="14"/>
      <c r="I225" s="15"/>
      <c r="J225" s="14"/>
      <c r="K225" s="15"/>
      <c r="L225" s="16"/>
      <c r="M225" s="17"/>
      <c r="N225" s="18" t="str">
        <f aca="false">IF(B225="","",IF(J225="Sí","Multa aplicada",IF(J225="No","Sin multa",IF(H225="Sí","Descargo enviado","Pendiente"))))</f>
        <v/>
      </c>
    </row>
    <row r="226" customFormat="false" ht="15" hidden="false" customHeight="false" outlineLevel="0" collapsed="false">
      <c r="A226" s="6" t="str">
        <f aca="false">IF('Carga Vigilador'!A226="","",'Carga Vigilador'!A226)</f>
        <v/>
      </c>
      <c r="B226" s="11" t="str">
        <f aca="false">IF('Carga Vigilador'!B226="","",'Carga Vigilador'!B226)</f>
        <v/>
      </c>
      <c r="C226" s="12" t="str">
        <f aca="false">IF('Carga Vigilador'!C226="","",'Carga Vigilador'!C226)</f>
        <v/>
      </c>
      <c r="D226" s="13" t="str">
        <f aca="false">IF('Carga Vigilador'!D226="","",'Carga Vigilador'!D226)</f>
        <v/>
      </c>
      <c r="E226" s="6" t="str">
        <f aca="false">IF('Carga Vigilador'!E226="","",'Carga Vigilador'!E226)</f>
        <v/>
      </c>
      <c r="F226" s="13" t="str">
        <f aca="false">IF('Carga Vigilador'!F226="","",'Carga Vigilador'!F226)</f>
        <v/>
      </c>
      <c r="G226" s="13" t="str">
        <f aca="false">IF('Carga Vigilador'!G226="","",'Carga Vigilador'!G226)</f>
        <v/>
      </c>
      <c r="H226" s="14"/>
      <c r="I226" s="15"/>
      <c r="J226" s="14"/>
      <c r="K226" s="15"/>
      <c r="L226" s="16"/>
      <c r="M226" s="17"/>
      <c r="N226" s="18" t="str">
        <f aca="false">IF(B226="","",IF(J226="Sí","Multa aplicada",IF(J226="No","Sin multa",IF(H226="Sí","Descargo enviado","Pendiente"))))</f>
        <v/>
      </c>
    </row>
    <row r="227" customFormat="false" ht="15" hidden="false" customHeight="false" outlineLevel="0" collapsed="false">
      <c r="A227" s="6" t="str">
        <f aca="false">IF('Carga Vigilador'!A227="","",'Carga Vigilador'!A227)</f>
        <v/>
      </c>
      <c r="B227" s="11" t="str">
        <f aca="false">IF('Carga Vigilador'!B227="","",'Carga Vigilador'!B227)</f>
        <v/>
      </c>
      <c r="C227" s="12" t="str">
        <f aca="false">IF('Carga Vigilador'!C227="","",'Carga Vigilador'!C227)</f>
        <v/>
      </c>
      <c r="D227" s="13" t="str">
        <f aca="false">IF('Carga Vigilador'!D227="","",'Carga Vigilador'!D227)</f>
        <v/>
      </c>
      <c r="E227" s="6" t="str">
        <f aca="false">IF('Carga Vigilador'!E227="","",'Carga Vigilador'!E227)</f>
        <v/>
      </c>
      <c r="F227" s="13" t="str">
        <f aca="false">IF('Carga Vigilador'!F227="","",'Carga Vigilador'!F227)</f>
        <v/>
      </c>
      <c r="G227" s="13" t="str">
        <f aca="false">IF('Carga Vigilador'!G227="","",'Carga Vigilador'!G227)</f>
        <v/>
      </c>
      <c r="H227" s="14"/>
      <c r="I227" s="15"/>
      <c r="J227" s="14"/>
      <c r="K227" s="15"/>
      <c r="L227" s="16"/>
      <c r="M227" s="17"/>
      <c r="N227" s="18" t="str">
        <f aca="false">IF(B227="","",IF(J227="Sí","Multa aplicada",IF(J227="No","Sin multa",IF(H227="Sí","Descargo enviado","Pendiente"))))</f>
        <v/>
      </c>
    </row>
    <row r="228" customFormat="false" ht="15" hidden="false" customHeight="false" outlineLevel="0" collapsed="false">
      <c r="A228" s="6" t="str">
        <f aca="false">IF('Carga Vigilador'!A228="","",'Carga Vigilador'!A228)</f>
        <v/>
      </c>
      <c r="B228" s="11" t="str">
        <f aca="false">IF('Carga Vigilador'!B228="","",'Carga Vigilador'!B228)</f>
        <v/>
      </c>
      <c r="C228" s="12" t="str">
        <f aca="false">IF('Carga Vigilador'!C228="","",'Carga Vigilador'!C228)</f>
        <v/>
      </c>
      <c r="D228" s="13" t="str">
        <f aca="false">IF('Carga Vigilador'!D228="","",'Carga Vigilador'!D228)</f>
        <v/>
      </c>
      <c r="E228" s="6" t="str">
        <f aca="false">IF('Carga Vigilador'!E228="","",'Carga Vigilador'!E228)</f>
        <v/>
      </c>
      <c r="F228" s="13" t="str">
        <f aca="false">IF('Carga Vigilador'!F228="","",'Carga Vigilador'!F228)</f>
        <v/>
      </c>
      <c r="G228" s="13" t="str">
        <f aca="false">IF('Carga Vigilador'!G228="","",'Carga Vigilador'!G228)</f>
        <v/>
      </c>
      <c r="H228" s="14"/>
      <c r="I228" s="15"/>
      <c r="J228" s="14"/>
      <c r="K228" s="15"/>
      <c r="L228" s="16"/>
      <c r="M228" s="17"/>
      <c r="N228" s="18" t="str">
        <f aca="false">IF(B228="","",IF(J228="Sí","Multa aplicada",IF(J228="No","Sin multa",IF(H228="Sí","Descargo enviado","Pendiente"))))</f>
        <v/>
      </c>
    </row>
    <row r="229" customFormat="false" ht="15" hidden="false" customHeight="false" outlineLevel="0" collapsed="false">
      <c r="A229" s="6" t="str">
        <f aca="false">IF('Carga Vigilador'!A229="","",'Carga Vigilador'!A229)</f>
        <v/>
      </c>
      <c r="B229" s="11" t="str">
        <f aca="false">IF('Carga Vigilador'!B229="","",'Carga Vigilador'!B229)</f>
        <v/>
      </c>
      <c r="C229" s="12" t="str">
        <f aca="false">IF('Carga Vigilador'!C229="","",'Carga Vigilador'!C229)</f>
        <v/>
      </c>
      <c r="D229" s="13" t="str">
        <f aca="false">IF('Carga Vigilador'!D229="","",'Carga Vigilador'!D229)</f>
        <v/>
      </c>
      <c r="E229" s="6" t="str">
        <f aca="false">IF('Carga Vigilador'!E229="","",'Carga Vigilador'!E229)</f>
        <v/>
      </c>
      <c r="F229" s="13" t="str">
        <f aca="false">IF('Carga Vigilador'!F229="","",'Carga Vigilador'!F229)</f>
        <v/>
      </c>
      <c r="G229" s="13" t="str">
        <f aca="false">IF('Carga Vigilador'!G229="","",'Carga Vigilador'!G229)</f>
        <v/>
      </c>
      <c r="H229" s="14"/>
      <c r="I229" s="15"/>
      <c r="J229" s="14"/>
      <c r="K229" s="15"/>
      <c r="L229" s="16"/>
      <c r="M229" s="17"/>
      <c r="N229" s="18" t="str">
        <f aca="false">IF(B229="","",IF(J229="Sí","Multa aplicada",IF(J229="No","Sin multa",IF(H229="Sí","Descargo enviado","Pendiente"))))</f>
        <v/>
      </c>
    </row>
    <row r="230" customFormat="false" ht="15" hidden="false" customHeight="false" outlineLevel="0" collapsed="false">
      <c r="A230" s="6" t="str">
        <f aca="false">IF('Carga Vigilador'!A230="","",'Carga Vigilador'!A230)</f>
        <v/>
      </c>
      <c r="B230" s="11" t="str">
        <f aca="false">IF('Carga Vigilador'!B230="","",'Carga Vigilador'!B230)</f>
        <v/>
      </c>
      <c r="C230" s="12" t="str">
        <f aca="false">IF('Carga Vigilador'!C230="","",'Carga Vigilador'!C230)</f>
        <v/>
      </c>
      <c r="D230" s="13" t="str">
        <f aca="false">IF('Carga Vigilador'!D230="","",'Carga Vigilador'!D230)</f>
        <v/>
      </c>
      <c r="E230" s="6" t="str">
        <f aca="false">IF('Carga Vigilador'!E230="","",'Carga Vigilador'!E230)</f>
        <v/>
      </c>
      <c r="F230" s="13" t="str">
        <f aca="false">IF('Carga Vigilador'!F230="","",'Carga Vigilador'!F230)</f>
        <v/>
      </c>
      <c r="G230" s="13" t="str">
        <f aca="false">IF('Carga Vigilador'!G230="","",'Carga Vigilador'!G230)</f>
        <v/>
      </c>
      <c r="H230" s="14"/>
      <c r="I230" s="15"/>
      <c r="J230" s="14"/>
      <c r="K230" s="15"/>
      <c r="L230" s="16"/>
      <c r="M230" s="17"/>
      <c r="N230" s="18" t="str">
        <f aca="false">IF(B230="","",IF(J230="Sí","Multa aplicada",IF(J230="No","Sin multa",IF(H230="Sí","Descargo enviado","Pendiente"))))</f>
        <v/>
      </c>
    </row>
    <row r="231" customFormat="false" ht="15" hidden="false" customHeight="false" outlineLevel="0" collapsed="false">
      <c r="A231" s="6" t="str">
        <f aca="false">IF('Carga Vigilador'!A231="","",'Carga Vigilador'!A231)</f>
        <v/>
      </c>
      <c r="B231" s="11" t="str">
        <f aca="false">IF('Carga Vigilador'!B231="","",'Carga Vigilador'!B231)</f>
        <v/>
      </c>
      <c r="C231" s="12" t="str">
        <f aca="false">IF('Carga Vigilador'!C231="","",'Carga Vigilador'!C231)</f>
        <v/>
      </c>
      <c r="D231" s="13" t="str">
        <f aca="false">IF('Carga Vigilador'!D231="","",'Carga Vigilador'!D231)</f>
        <v/>
      </c>
      <c r="E231" s="6" t="str">
        <f aca="false">IF('Carga Vigilador'!E231="","",'Carga Vigilador'!E231)</f>
        <v/>
      </c>
      <c r="F231" s="13" t="str">
        <f aca="false">IF('Carga Vigilador'!F231="","",'Carga Vigilador'!F231)</f>
        <v/>
      </c>
      <c r="G231" s="13" t="str">
        <f aca="false">IF('Carga Vigilador'!G231="","",'Carga Vigilador'!G231)</f>
        <v/>
      </c>
      <c r="H231" s="14"/>
      <c r="I231" s="15"/>
      <c r="J231" s="14"/>
      <c r="K231" s="15"/>
      <c r="L231" s="16"/>
      <c r="M231" s="17"/>
      <c r="N231" s="18" t="str">
        <f aca="false">IF(B231="","",IF(J231="Sí","Multa aplicada",IF(J231="No","Sin multa",IF(H231="Sí","Descargo enviado","Pendiente"))))</f>
        <v/>
      </c>
    </row>
    <row r="232" customFormat="false" ht="15" hidden="false" customHeight="false" outlineLevel="0" collapsed="false">
      <c r="A232" s="6" t="str">
        <f aca="false">IF('Carga Vigilador'!A232="","",'Carga Vigilador'!A232)</f>
        <v/>
      </c>
      <c r="B232" s="11" t="str">
        <f aca="false">IF('Carga Vigilador'!B232="","",'Carga Vigilador'!B232)</f>
        <v/>
      </c>
      <c r="C232" s="12" t="str">
        <f aca="false">IF('Carga Vigilador'!C232="","",'Carga Vigilador'!C232)</f>
        <v/>
      </c>
      <c r="D232" s="13" t="str">
        <f aca="false">IF('Carga Vigilador'!D232="","",'Carga Vigilador'!D232)</f>
        <v/>
      </c>
      <c r="E232" s="6" t="str">
        <f aca="false">IF('Carga Vigilador'!E232="","",'Carga Vigilador'!E232)</f>
        <v/>
      </c>
      <c r="F232" s="13" t="str">
        <f aca="false">IF('Carga Vigilador'!F232="","",'Carga Vigilador'!F232)</f>
        <v/>
      </c>
      <c r="G232" s="13" t="str">
        <f aca="false">IF('Carga Vigilador'!G232="","",'Carga Vigilador'!G232)</f>
        <v/>
      </c>
      <c r="H232" s="14"/>
      <c r="I232" s="15"/>
      <c r="J232" s="14"/>
      <c r="K232" s="15"/>
      <c r="L232" s="16"/>
      <c r="M232" s="17"/>
      <c r="N232" s="18" t="str">
        <f aca="false">IF(B232="","",IF(J232="Sí","Multa aplicada",IF(J232="No","Sin multa",IF(H232="Sí","Descargo enviado","Pendiente"))))</f>
        <v/>
      </c>
    </row>
    <row r="233" customFormat="false" ht="15" hidden="false" customHeight="false" outlineLevel="0" collapsed="false">
      <c r="A233" s="6" t="str">
        <f aca="false">IF('Carga Vigilador'!A233="","",'Carga Vigilador'!A233)</f>
        <v/>
      </c>
      <c r="B233" s="11" t="str">
        <f aca="false">IF('Carga Vigilador'!B233="","",'Carga Vigilador'!B233)</f>
        <v/>
      </c>
      <c r="C233" s="12" t="str">
        <f aca="false">IF('Carga Vigilador'!C233="","",'Carga Vigilador'!C233)</f>
        <v/>
      </c>
      <c r="D233" s="13" t="str">
        <f aca="false">IF('Carga Vigilador'!D233="","",'Carga Vigilador'!D233)</f>
        <v/>
      </c>
      <c r="E233" s="6" t="str">
        <f aca="false">IF('Carga Vigilador'!E233="","",'Carga Vigilador'!E233)</f>
        <v/>
      </c>
      <c r="F233" s="13" t="str">
        <f aca="false">IF('Carga Vigilador'!F233="","",'Carga Vigilador'!F233)</f>
        <v/>
      </c>
      <c r="G233" s="13" t="str">
        <f aca="false">IF('Carga Vigilador'!G233="","",'Carga Vigilador'!G233)</f>
        <v/>
      </c>
      <c r="H233" s="14"/>
      <c r="I233" s="15"/>
      <c r="J233" s="14"/>
      <c r="K233" s="15"/>
      <c r="L233" s="16"/>
      <c r="M233" s="17"/>
      <c r="N233" s="18" t="str">
        <f aca="false">IF(B233="","",IF(J233="Sí","Multa aplicada",IF(J233="No","Sin multa",IF(H233="Sí","Descargo enviado","Pendiente"))))</f>
        <v/>
      </c>
    </row>
    <row r="234" customFormat="false" ht="15" hidden="false" customHeight="false" outlineLevel="0" collapsed="false">
      <c r="A234" s="6" t="str">
        <f aca="false">IF('Carga Vigilador'!A234="","",'Carga Vigilador'!A234)</f>
        <v/>
      </c>
      <c r="B234" s="11" t="str">
        <f aca="false">IF('Carga Vigilador'!B234="","",'Carga Vigilador'!B234)</f>
        <v/>
      </c>
      <c r="C234" s="12" t="str">
        <f aca="false">IF('Carga Vigilador'!C234="","",'Carga Vigilador'!C234)</f>
        <v/>
      </c>
      <c r="D234" s="13" t="str">
        <f aca="false">IF('Carga Vigilador'!D234="","",'Carga Vigilador'!D234)</f>
        <v/>
      </c>
      <c r="E234" s="6" t="str">
        <f aca="false">IF('Carga Vigilador'!E234="","",'Carga Vigilador'!E234)</f>
        <v/>
      </c>
      <c r="F234" s="13" t="str">
        <f aca="false">IF('Carga Vigilador'!F234="","",'Carga Vigilador'!F234)</f>
        <v/>
      </c>
      <c r="G234" s="13" t="str">
        <f aca="false">IF('Carga Vigilador'!G234="","",'Carga Vigilador'!G234)</f>
        <v/>
      </c>
      <c r="H234" s="14"/>
      <c r="I234" s="15"/>
      <c r="J234" s="14"/>
      <c r="K234" s="15"/>
      <c r="L234" s="16"/>
      <c r="M234" s="17"/>
      <c r="N234" s="18" t="str">
        <f aca="false">IF(B234="","",IF(J234="Sí","Multa aplicada",IF(J234="No","Sin multa",IF(H234="Sí","Descargo enviado","Pendiente"))))</f>
        <v/>
      </c>
    </row>
    <row r="235" customFormat="false" ht="15" hidden="false" customHeight="false" outlineLevel="0" collapsed="false">
      <c r="A235" s="6" t="str">
        <f aca="false">IF('Carga Vigilador'!A235="","",'Carga Vigilador'!A235)</f>
        <v/>
      </c>
      <c r="B235" s="11" t="str">
        <f aca="false">IF('Carga Vigilador'!B235="","",'Carga Vigilador'!B235)</f>
        <v/>
      </c>
      <c r="C235" s="12" t="str">
        <f aca="false">IF('Carga Vigilador'!C235="","",'Carga Vigilador'!C235)</f>
        <v/>
      </c>
      <c r="D235" s="13" t="str">
        <f aca="false">IF('Carga Vigilador'!D235="","",'Carga Vigilador'!D235)</f>
        <v/>
      </c>
      <c r="E235" s="6" t="str">
        <f aca="false">IF('Carga Vigilador'!E235="","",'Carga Vigilador'!E235)</f>
        <v/>
      </c>
      <c r="F235" s="13" t="str">
        <f aca="false">IF('Carga Vigilador'!F235="","",'Carga Vigilador'!F235)</f>
        <v/>
      </c>
      <c r="G235" s="13" t="str">
        <f aca="false">IF('Carga Vigilador'!G235="","",'Carga Vigilador'!G235)</f>
        <v/>
      </c>
      <c r="H235" s="14"/>
      <c r="I235" s="15"/>
      <c r="J235" s="14"/>
      <c r="K235" s="15"/>
      <c r="L235" s="16"/>
      <c r="M235" s="17"/>
      <c r="N235" s="18" t="str">
        <f aca="false">IF(B235="","",IF(J235="Sí","Multa aplicada",IF(J235="No","Sin multa",IF(H235="Sí","Descargo enviado","Pendiente"))))</f>
        <v/>
      </c>
    </row>
    <row r="236" customFormat="false" ht="15" hidden="false" customHeight="false" outlineLevel="0" collapsed="false">
      <c r="A236" s="6" t="str">
        <f aca="false">IF('Carga Vigilador'!A236="","",'Carga Vigilador'!A236)</f>
        <v/>
      </c>
      <c r="B236" s="11" t="str">
        <f aca="false">IF('Carga Vigilador'!B236="","",'Carga Vigilador'!B236)</f>
        <v/>
      </c>
      <c r="C236" s="12" t="str">
        <f aca="false">IF('Carga Vigilador'!C236="","",'Carga Vigilador'!C236)</f>
        <v/>
      </c>
      <c r="D236" s="13" t="str">
        <f aca="false">IF('Carga Vigilador'!D236="","",'Carga Vigilador'!D236)</f>
        <v/>
      </c>
      <c r="E236" s="6" t="str">
        <f aca="false">IF('Carga Vigilador'!E236="","",'Carga Vigilador'!E236)</f>
        <v/>
      </c>
      <c r="F236" s="13" t="str">
        <f aca="false">IF('Carga Vigilador'!F236="","",'Carga Vigilador'!F236)</f>
        <v/>
      </c>
      <c r="G236" s="13" t="str">
        <f aca="false">IF('Carga Vigilador'!G236="","",'Carga Vigilador'!G236)</f>
        <v/>
      </c>
      <c r="H236" s="14"/>
      <c r="I236" s="15"/>
      <c r="J236" s="14"/>
      <c r="K236" s="15"/>
      <c r="L236" s="16"/>
      <c r="M236" s="17"/>
      <c r="N236" s="18" t="str">
        <f aca="false">IF(B236="","",IF(J236="Sí","Multa aplicada",IF(J236="No","Sin multa",IF(H236="Sí","Descargo enviado","Pendiente"))))</f>
        <v/>
      </c>
    </row>
    <row r="237" customFormat="false" ht="15" hidden="false" customHeight="false" outlineLevel="0" collapsed="false">
      <c r="A237" s="6" t="str">
        <f aca="false">IF('Carga Vigilador'!A237="","",'Carga Vigilador'!A237)</f>
        <v/>
      </c>
      <c r="B237" s="11" t="str">
        <f aca="false">IF('Carga Vigilador'!B237="","",'Carga Vigilador'!B237)</f>
        <v/>
      </c>
      <c r="C237" s="12" t="str">
        <f aca="false">IF('Carga Vigilador'!C237="","",'Carga Vigilador'!C237)</f>
        <v/>
      </c>
      <c r="D237" s="13" t="str">
        <f aca="false">IF('Carga Vigilador'!D237="","",'Carga Vigilador'!D237)</f>
        <v/>
      </c>
      <c r="E237" s="6" t="str">
        <f aca="false">IF('Carga Vigilador'!E237="","",'Carga Vigilador'!E237)</f>
        <v/>
      </c>
      <c r="F237" s="13" t="str">
        <f aca="false">IF('Carga Vigilador'!F237="","",'Carga Vigilador'!F237)</f>
        <v/>
      </c>
      <c r="G237" s="13" t="str">
        <f aca="false">IF('Carga Vigilador'!G237="","",'Carga Vigilador'!G237)</f>
        <v/>
      </c>
      <c r="H237" s="14"/>
      <c r="I237" s="15"/>
      <c r="J237" s="14"/>
      <c r="K237" s="15"/>
      <c r="L237" s="16"/>
      <c r="M237" s="17"/>
      <c r="N237" s="18" t="str">
        <f aca="false">IF(B237="","",IF(J237="Sí","Multa aplicada",IF(J237="No","Sin multa",IF(H237="Sí","Descargo enviado","Pendiente"))))</f>
        <v/>
      </c>
    </row>
    <row r="238" customFormat="false" ht="15" hidden="false" customHeight="false" outlineLevel="0" collapsed="false">
      <c r="A238" s="6" t="str">
        <f aca="false">IF('Carga Vigilador'!A238="","",'Carga Vigilador'!A238)</f>
        <v/>
      </c>
      <c r="B238" s="11" t="str">
        <f aca="false">IF('Carga Vigilador'!B238="","",'Carga Vigilador'!B238)</f>
        <v/>
      </c>
      <c r="C238" s="12" t="str">
        <f aca="false">IF('Carga Vigilador'!C238="","",'Carga Vigilador'!C238)</f>
        <v/>
      </c>
      <c r="D238" s="13" t="str">
        <f aca="false">IF('Carga Vigilador'!D238="","",'Carga Vigilador'!D238)</f>
        <v/>
      </c>
      <c r="E238" s="6" t="str">
        <f aca="false">IF('Carga Vigilador'!E238="","",'Carga Vigilador'!E238)</f>
        <v/>
      </c>
      <c r="F238" s="13" t="str">
        <f aca="false">IF('Carga Vigilador'!F238="","",'Carga Vigilador'!F238)</f>
        <v/>
      </c>
      <c r="G238" s="13" t="str">
        <f aca="false">IF('Carga Vigilador'!G238="","",'Carga Vigilador'!G238)</f>
        <v/>
      </c>
      <c r="H238" s="14"/>
      <c r="I238" s="15"/>
      <c r="J238" s="14"/>
      <c r="K238" s="15"/>
      <c r="L238" s="16"/>
      <c r="M238" s="17"/>
      <c r="N238" s="18" t="str">
        <f aca="false">IF(B238="","",IF(J238="Sí","Multa aplicada",IF(J238="No","Sin multa",IF(H238="Sí","Descargo enviado","Pendiente"))))</f>
        <v/>
      </c>
    </row>
    <row r="239" customFormat="false" ht="15" hidden="false" customHeight="false" outlineLevel="0" collapsed="false">
      <c r="A239" s="6" t="str">
        <f aca="false">IF('Carga Vigilador'!A239="","",'Carga Vigilador'!A239)</f>
        <v/>
      </c>
      <c r="B239" s="11" t="str">
        <f aca="false">IF('Carga Vigilador'!B239="","",'Carga Vigilador'!B239)</f>
        <v/>
      </c>
      <c r="C239" s="12" t="str">
        <f aca="false">IF('Carga Vigilador'!C239="","",'Carga Vigilador'!C239)</f>
        <v/>
      </c>
      <c r="D239" s="13" t="str">
        <f aca="false">IF('Carga Vigilador'!D239="","",'Carga Vigilador'!D239)</f>
        <v/>
      </c>
      <c r="E239" s="6" t="str">
        <f aca="false">IF('Carga Vigilador'!E239="","",'Carga Vigilador'!E239)</f>
        <v/>
      </c>
      <c r="F239" s="13" t="str">
        <f aca="false">IF('Carga Vigilador'!F239="","",'Carga Vigilador'!F239)</f>
        <v/>
      </c>
      <c r="G239" s="13" t="str">
        <f aca="false">IF('Carga Vigilador'!G239="","",'Carga Vigilador'!G239)</f>
        <v/>
      </c>
      <c r="H239" s="14"/>
      <c r="I239" s="15"/>
      <c r="J239" s="14"/>
      <c r="K239" s="15"/>
      <c r="L239" s="16"/>
      <c r="M239" s="17"/>
      <c r="N239" s="18" t="str">
        <f aca="false">IF(B239="","",IF(J239="Sí","Multa aplicada",IF(J239="No","Sin multa",IF(H239="Sí","Descargo enviado","Pendiente"))))</f>
        <v/>
      </c>
    </row>
    <row r="240" customFormat="false" ht="15" hidden="false" customHeight="false" outlineLevel="0" collapsed="false">
      <c r="A240" s="6" t="str">
        <f aca="false">IF('Carga Vigilador'!A240="","",'Carga Vigilador'!A240)</f>
        <v/>
      </c>
      <c r="B240" s="11" t="str">
        <f aca="false">IF('Carga Vigilador'!B240="","",'Carga Vigilador'!B240)</f>
        <v/>
      </c>
      <c r="C240" s="12" t="str">
        <f aca="false">IF('Carga Vigilador'!C240="","",'Carga Vigilador'!C240)</f>
        <v/>
      </c>
      <c r="D240" s="13" t="str">
        <f aca="false">IF('Carga Vigilador'!D240="","",'Carga Vigilador'!D240)</f>
        <v/>
      </c>
      <c r="E240" s="6" t="str">
        <f aca="false">IF('Carga Vigilador'!E240="","",'Carga Vigilador'!E240)</f>
        <v/>
      </c>
      <c r="F240" s="13" t="str">
        <f aca="false">IF('Carga Vigilador'!F240="","",'Carga Vigilador'!F240)</f>
        <v/>
      </c>
      <c r="G240" s="13" t="str">
        <f aca="false">IF('Carga Vigilador'!G240="","",'Carga Vigilador'!G240)</f>
        <v/>
      </c>
      <c r="H240" s="14"/>
      <c r="I240" s="15"/>
      <c r="J240" s="14"/>
      <c r="K240" s="15"/>
      <c r="L240" s="16"/>
      <c r="M240" s="17"/>
      <c r="N240" s="18" t="str">
        <f aca="false">IF(B240="","",IF(J240="Sí","Multa aplicada",IF(J240="No","Sin multa",IF(H240="Sí","Descargo enviado","Pendiente"))))</f>
        <v/>
      </c>
    </row>
    <row r="241" customFormat="false" ht="15" hidden="false" customHeight="false" outlineLevel="0" collapsed="false">
      <c r="A241" s="6" t="str">
        <f aca="false">IF('Carga Vigilador'!A241="","",'Carga Vigilador'!A241)</f>
        <v/>
      </c>
      <c r="B241" s="11" t="str">
        <f aca="false">IF('Carga Vigilador'!B241="","",'Carga Vigilador'!B241)</f>
        <v/>
      </c>
      <c r="C241" s="12" t="str">
        <f aca="false">IF('Carga Vigilador'!C241="","",'Carga Vigilador'!C241)</f>
        <v/>
      </c>
      <c r="D241" s="13" t="str">
        <f aca="false">IF('Carga Vigilador'!D241="","",'Carga Vigilador'!D241)</f>
        <v/>
      </c>
      <c r="E241" s="6" t="str">
        <f aca="false">IF('Carga Vigilador'!E241="","",'Carga Vigilador'!E241)</f>
        <v/>
      </c>
      <c r="F241" s="13" t="str">
        <f aca="false">IF('Carga Vigilador'!F241="","",'Carga Vigilador'!F241)</f>
        <v/>
      </c>
      <c r="G241" s="13" t="str">
        <f aca="false">IF('Carga Vigilador'!G241="","",'Carga Vigilador'!G241)</f>
        <v/>
      </c>
      <c r="H241" s="14"/>
      <c r="I241" s="15"/>
      <c r="J241" s="14"/>
      <c r="K241" s="15"/>
      <c r="L241" s="16"/>
      <c r="M241" s="17"/>
      <c r="N241" s="18" t="str">
        <f aca="false">IF(B241="","",IF(J241="Sí","Multa aplicada",IF(J241="No","Sin multa",IF(H241="Sí","Descargo enviado","Pendiente"))))</f>
        <v/>
      </c>
    </row>
    <row r="242" customFormat="false" ht="15" hidden="false" customHeight="false" outlineLevel="0" collapsed="false">
      <c r="A242" s="6" t="str">
        <f aca="false">IF('Carga Vigilador'!A242="","",'Carga Vigilador'!A242)</f>
        <v/>
      </c>
      <c r="B242" s="11" t="str">
        <f aca="false">IF('Carga Vigilador'!B242="","",'Carga Vigilador'!B242)</f>
        <v/>
      </c>
      <c r="C242" s="12" t="str">
        <f aca="false">IF('Carga Vigilador'!C242="","",'Carga Vigilador'!C242)</f>
        <v/>
      </c>
      <c r="D242" s="13" t="str">
        <f aca="false">IF('Carga Vigilador'!D242="","",'Carga Vigilador'!D242)</f>
        <v/>
      </c>
      <c r="E242" s="6" t="str">
        <f aca="false">IF('Carga Vigilador'!E242="","",'Carga Vigilador'!E242)</f>
        <v/>
      </c>
      <c r="F242" s="13" t="str">
        <f aca="false">IF('Carga Vigilador'!F242="","",'Carga Vigilador'!F242)</f>
        <v/>
      </c>
      <c r="G242" s="13" t="str">
        <f aca="false">IF('Carga Vigilador'!G242="","",'Carga Vigilador'!G242)</f>
        <v/>
      </c>
      <c r="H242" s="14"/>
      <c r="I242" s="15"/>
      <c r="J242" s="14"/>
      <c r="K242" s="15"/>
      <c r="L242" s="16"/>
      <c r="M242" s="17"/>
      <c r="N242" s="18" t="str">
        <f aca="false">IF(B242="","",IF(J242="Sí","Multa aplicada",IF(J242="No","Sin multa",IF(H242="Sí","Descargo enviado","Pendiente"))))</f>
        <v/>
      </c>
    </row>
    <row r="243" customFormat="false" ht="15" hidden="false" customHeight="false" outlineLevel="0" collapsed="false">
      <c r="A243" s="6" t="str">
        <f aca="false">IF('Carga Vigilador'!A243="","",'Carga Vigilador'!A243)</f>
        <v/>
      </c>
      <c r="B243" s="11" t="str">
        <f aca="false">IF('Carga Vigilador'!B243="","",'Carga Vigilador'!B243)</f>
        <v/>
      </c>
      <c r="C243" s="12" t="str">
        <f aca="false">IF('Carga Vigilador'!C243="","",'Carga Vigilador'!C243)</f>
        <v/>
      </c>
      <c r="D243" s="13" t="str">
        <f aca="false">IF('Carga Vigilador'!D243="","",'Carga Vigilador'!D243)</f>
        <v/>
      </c>
      <c r="E243" s="6" t="str">
        <f aca="false">IF('Carga Vigilador'!E243="","",'Carga Vigilador'!E243)</f>
        <v/>
      </c>
      <c r="F243" s="13" t="str">
        <f aca="false">IF('Carga Vigilador'!F243="","",'Carga Vigilador'!F243)</f>
        <v/>
      </c>
      <c r="G243" s="13" t="str">
        <f aca="false">IF('Carga Vigilador'!G243="","",'Carga Vigilador'!G243)</f>
        <v/>
      </c>
      <c r="H243" s="14"/>
      <c r="I243" s="15"/>
      <c r="J243" s="14"/>
      <c r="K243" s="15"/>
      <c r="L243" s="16"/>
      <c r="M243" s="17"/>
      <c r="N243" s="18" t="str">
        <f aca="false">IF(B243="","",IF(J243="Sí","Multa aplicada",IF(J243="No","Sin multa",IF(H243="Sí","Descargo enviado","Pendiente"))))</f>
        <v/>
      </c>
    </row>
    <row r="244" customFormat="false" ht="15" hidden="false" customHeight="false" outlineLevel="0" collapsed="false">
      <c r="A244" s="6" t="str">
        <f aca="false">IF('Carga Vigilador'!A244="","",'Carga Vigilador'!A244)</f>
        <v/>
      </c>
      <c r="B244" s="11" t="str">
        <f aca="false">IF('Carga Vigilador'!B244="","",'Carga Vigilador'!B244)</f>
        <v/>
      </c>
      <c r="C244" s="12" t="str">
        <f aca="false">IF('Carga Vigilador'!C244="","",'Carga Vigilador'!C244)</f>
        <v/>
      </c>
      <c r="D244" s="13" t="str">
        <f aca="false">IF('Carga Vigilador'!D244="","",'Carga Vigilador'!D244)</f>
        <v/>
      </c>
      <c r="E244" s="6" t="str">
        <f aca="false">IF('Carga Vigilador'!E244="","",'Carga Vigilador'!E244)</f>
        <v/>
      </c>
      <c r="F244" s="13" t="str">
        <f aca="false">IF('Carga Vigilador'!F244="","",'Carga Vigilador'!F244)</f>
        <v/>
      </c>
      <c r="G244" s="13" t="str">
        <f aca="false">IF('Carga Vigilador'!G244="","",'Carga Vigilador'!G244)</f>
        <v/>
      </c>
      <c r="H244" s="14"/>
      <c r="I244" s="15"/>
      <c r="J244" s="14"/>
      <c r="K244" s="15"/>
      <c r="L244" s="16"/>
      <c r="M244" s="17"/>
      <c r="N244" s="18" t="str">
        <f aca="false">IF(B244="","",IF(J244="Sí","Multa aplicada",IF(J244="No","Sin multa",IF(H244="Sí","Descargo enviado","Pendiente"))))</f>
        <v/>
      </c>
    </row>
    <row r="245" customFormat="false" ht="15" hidden="false" customHeight="false" outlineLevel="0" collapsed="false">
      <c r="A245" s="6" t="str">
        <f aca="false">IF('Carga Vigilador'!A245="","",'Carga Vigilador'!A245)</f>
        <v/>
      </c>
      <c r="B245" s="11" t="str">
        <f aca="false">IF('Carga Vigilador'!B245="","",'Carga Vigilador'!B245)</f>
        <v/>
      </c>
      <c r="C245" s="12" t="str">
        <f aca="false">IF('Carga Vigilador'!C245="","",'Carga Vigilador'!C245)</f>
        <v/>
      </c>
      <c r="D245" s="13" t="str">
        <f aca="false">IF('Carga Vigilador'!D245="","",'Carga Vigilador'!D245)</f>
        <v/>
      </c>
      <c r="E245" s="6" t="str">
        <f aca="false">IF('Carga Vigilador'!E245="","",'Carga Vigilador'!E245)</f>
        <v/>
      </c>
      <c r="F245" s="13" t="str">
        <f aca="false">IF('Carga Vigilador'!F245="","",'Carga Vigilador'!F245)</f>
        <v/>
      </c>
      <c r="G245" s="13" t="str">
        <f aca="false">IF('Carga Vigilador'!G245="","",'Carga Vigilador'!G245)</f>
        <v/>
      </c>
      <c r="H245" s="14"/>
      <c r="I245" s="15"/>
      <c r="J245" s="14"/>
      <c r="K245" s="15"/>
      <c r="L245" s="16"/>
      <c r="M245" s="17"/>
      <c r="N245" s="18" t="str">
        <f aca="false">IF(B245="","",IF(J245="Sí","Multa aplicada",IF(J245="No","Sin multa",IF(H245="Sí","Descargo enviado","Pendiente"))))</f>
        <v/>
      </c>
    </row>
    <row r="246" customFormat="false" ht="15" hidden="false" customHeight="false" outlineLevel="0" collapsed="false">
      <c r="A246" s="6" t="str">
        <f aca="false">IF('Carga Vigilador'!A246="","",'Carga Vigilador'!A246)</f>
        <v/>
      </c>
      <c r="B246" s="11" t="str">
        <f aca="false">IF('Carga Vigilador'!B246="","",'Carga Vigilador'!B246)</f>
        <v/>
      </c>
      <c r="C246" s="12" t="str">
        <f aca="false">IF('Carga Vigilador'!C246="","",'Carga Vigilador'!C246)</f>
        <v/>
      </c>
      <c r="D246" s="13" t="str">
        <f aca="false">IF('Carga Vigilador'!D246="","",'Carga Vigilador'!D246)</f>
        <v/>
      </c>
      <c r="E246" s="6" t="str">
        <f aca="false">IF('Carga Vigilador'!E246="","",'Carga Vigilador'!E246)</f>
        <v/>
      </c>
      <c r="F246" s="13" t="str">
        <f aca="false">IF('Carga Vigilador'!F246="","",'Carga Vigilador'!F246)</f>
        <v/>
      </c>
      <c r="G246" s="13" t="str">
        <f aca="false">IF('Carga Vigilador'!G246="","",'Carga Vigilador'!G246)</f>
        <v/>
      </c>
      <c r="H246" s="14"/>
      <c r="I246" s="15"/>
      <c r="J246" s="14"/>
      <c r="K246" s="15"/>
      <c r="L246" s="16"/>
      <c r="M246" s="17"/>
      <c r="N246" s="18" t="str">
        <f aca="false">IF(B246="","",IF(J246="Sí","Multa aplicada",IF(J246="No","Sin multa",IF(H246="Sí","Descargo enviado","Pendiente"))))</f>
        <v/>
      </c>
    </row>
    <row r="247" customFormat="false" ht="15" hidden="false" customHeight="false" outlineLevel="0" collapsed="false">
      <c r="A247" s="6" t="str">
        <f aca="false">IF('Carga Vigilador'!A247="","",'Carga Vigilador'!A247)</f>
        <v/>
      </c>
      <c r="B247" s="11" t="str">
        <f aca="false">IF('Carga Vigilador'!B247="","",'Carga Vigilador'!B247)</f>
        <v/>
      </c>
      <c r="C247" s="12" t="str">
        <f aca="false">IF('Carga Vigilador'!C247="","",'Carga Vigilador'!C247)</f>
        <v/>
      </c>
      <c r="D247" s="13" t="str">
        <f aca="false">IF('Carga Vigilador'!D247="","",'Carga Vigilador'!D247)</f>
        <v/>
      </c>
      <c r="E247" s="6" t="str">
        <f aca="false">IF('Carga Vigilador'!E247="","",'Carga Vigilador'!E247)</f>
        <v/>
      </c>
      <c r="F247" s="13" t="str">
        <f aca="false">IF('Carga Vigilador'!F247="","",'Carga Vigilador'!F247)</f>
        <v/>
      </c>
      <c r="G247" s="13" t="str">
        <f aca="false">IF('Carga Vigilador'!G247="","",'Carga Vigilador'!G247)</f>
        <v/>
      </c>
      <c r="H247" s="14"/>
      <c r="I247" s="15"/>
      <c r="J247" s="14"/>
      <c r="K247" s="15"/>
      <c r="L247" s="16"/>
      <c r="M247" s="17"/>
      <c r="N247" s="18" t="str">
        <f aca="false">IF(B247="","",IF(J247="Sí","Multa aplicada",IF(J247="No","Sin multa",IF(H247="Sí","Descargo enviado","Pendiente"))))</f>
        <v/>
      </c>
    </row>
    <row r="248" customFormat="false" ht="15" hidden="false" customHeight="false" outlineLevel="0" collapsed="false">
      <c r="A248" s="6" t="str">
        <f aca="false">IF('Carga Vigilador'!A248="","",'Carga Vigilador'!A248)</f>
        <v/>
      </c>
      <c r="B248" s="11" t="str">
        <f aca="false">IF('Carga Vigilador'!B248="","",'Carga Vigilador'!B248)</f>
        <v/>
      </c>
      <c r="C248" s="12" t="str">
        <f aca="false">IF('Carga Vigilador'!C248="","",'Carga Vigilador'!C248)</f>
        <v/>
      </c>
      <c r="D248" s="13" t="str">
        <f aca="false">IF('Carga Vigilador'!D248="","",'Carga Vigilador'!D248)</f>
        <v/>
      </c>
      <c r="E248" s="6" t="str">
        <f aca="false">IF('Carga Vigilador'!E248="","",'Carga Vigilador'!E248)</f>
        <v/>
      </c>
      <c r="F248" s="13" t="str">
        <f aca="false">IF('Carga Vigilador'!F248="","",'Carga Vigilador'!F248)</f>
        <v/>
      </c>
      <c r="G248" s="13" t="str">
        <f aca="false">IF('Carga Vigilador'!G248="","",'Carga Vigilador'!G248)</f>
        <v/>
      </c>
      <c r="H248" s="14"/>
      <c r="I248" s="15"/>
      <c r="J248" s="14"/>
      <c r="K248" s="15"/>
      <c r="L248" s="16"/>
      <c r="M248" s="17"/>
      <c r="N248" s="18" t="str">
        <f aca="false">IF(B248="","",IF(J248="Sí","Multa aplicada",IF(J248="No","Sin multa",IF(H248="Sí","Descargo enviado","Pendiente"))))</f>
        <v/>
      </c>
    </row>
    <row r="249" customFormat="false" ht="15" hidden="false" customHeight="false" outlineLevel="0" collapsed="false">
      <c r="A249" s="6" t="str">
        <f aca="false">IF('Carga Vigilador'!A249="","",'Carga Vigilador'!A249)</f>
        <v/>
      </c>
      <c r="B249" s="11" t="str">
        <f aca="false">IF('Carga Vigilador'!B249="","",'Carga Vigilador'!B249)</f>
        <v/>
      </c>
      <c r="C249" s="12" t="str">
        <f aca="false">IF('Carga Vigilador'!C249="","",'Carga Vigilador'!C249)</f>
        <v/>
      </c>
      <c r="D249" s="13" t="str">
        <f aca="false">IF('Carga Vigilador'!D249="","",'Carga Vigilador'!D249)</f>
        <v/>
      </c>
      <c r="E249" s="6" t="str">
        <f aca="false">IF('Carga Vigilador'!E249="","",'Carga Vigilador'!E249)</f>
        <v/>
      </c>
      <c r="F249" s="13" t="str">
        <f aca="false">IF('Carga Vigilador'!F249="","",'Carga Vigilador'!F249)</f>
        <v/>
      </c>
      <c r="G249" s="13" t="str">
        <f aca="false">IF('Carga Vigilador'!G249="","",'Carga Vigilador'!G249)</f>
        <v/>
      </c>
      <c r="H249" s="14"/>
      <c r="I249" s="15"/>
      <c r="J249" s="14"/>
      <c r="K249" s="15"/>
      <c r="L249" s="16"/>
      <c r="M249" s="17"/>
      <c r="N249" s="18" t="str">
        <f aca="false">IF(B249="","",IF(J249="Sí","Multa aplicada",IF(J249="No","Sin multa",IF(H249="Sí","Descargo enviado","Pendiente"))))</f>
        <v/>
      </c>
    </row>
    <row r="250" customFormat="false" ht="15" hidden="false" customHeight="false" outlineLevel="0" collapsed="false">
      <c r="A250" s="6" t="str">
        <f aca="false">IF('Carga Vigilador'!A250="","",'Carga Vigilador'!A250)</f>
        <v/>
      </c>
      <c r="B250" s="11" t="str">
        <f aca="false">IF('Carga Vigilador'!B250="","",'Carga Vigilador'!B250)</f>
        <v/>
      </c>
      <c r="C250" s="12" t="str">
        <f aca="false">IF('Carga Vigilador'!C250="","",'Carga Vigilador'!C250)</f>
        <v/>
      </c>
      <c r="D250" s="13" t="str">
        <f aca="false">IF('Carga Vigilador'!D250="","",'Carga Vigilador'!D250)</f>
        <v/>
      </c>
      <c r="E250" s="6" t="str">
        <f aca="false">IF('Carga Vigilador'!E250="","",'Carga Vigilador'!E250)</f>
        <v/>
      </c>
      <c r="F250" s="13" t="str">
        <f aca="false">IF('Carga Vigilador'!F250="","",'Carga Vigilador'!F250)</f>
        <v/>
      </c>
      <c r="G250" s="13" t="str">
        <f aca="false">IF('Carga Vigilador'!G250="","",'Carga Vigilador'!G250)</f>
        <v/>
      </c>
      <c r="H250" s="14"/>
      <c r="I250" s="15"/>
      <c r="J250" s="14"/>
      <c r="K250" s="15"/>
      <c r="L250" s="16"/>
      <c r="M250" s="17"/>
      <c r="N250" s="18" t="str">
        <f aca="false">IF(B250="","",IF(J250="Sí","Multa aplicada",IF(J250="No","Sin multa",IF(H250="Sí","Descargo enviado","Pendiente"))))</f>
        <v/>
      </c>
    </row>
    <row r="251" customFormat="false" ht="15" hidden="false" customHeight="false" outlineLevel="0" collapsed="false">
      <c r="A251" s="6" t="str">
        <f aca="false">IF('Carga Vigilador'!A251="","",'Carga Vigilador'!A251)</f>
        <v/>
      </c>
      <c r="B251" s="11" t="str">
        <f aca="false">IF('Carga Vigilador'!B251="","",'Carga Vigilador'!B251)</f>
        <v/>
      </c>
      <c r="C251" s="12" t="str">
        <f aca="false">IF('Carga Vigilador'!C251="","",'Carga Vigilador'!C251)</f>
        <v/>
      </c>
      <c r="D251" s="13" t="str">
        <f aca="false">IF('Carga Vigilador'!D251="","",'Carga Vigilador'!D251)</f>
        <v/>
      </c>
      <c r="E251" s="6" t="str">
        <f aca="false">IF('Carga Vigilador'!E251="","",'Carga Vigilador'!E251)</f>
        <v/>
      </c>
      <c r="F251" s="13" t="str">
        <f aca="false">IF('Carga Vigilador'!F251="","",'Carga Vigilador'!F251)</f>
        <v/>
      </c>
      <c r="G251" s="13" t="str">
        <f aca="false">IF('Carga Vigilador'!G251="","",'Carga Vigilador'!G251)</f>
        <v/>
      </c>
      <c r="H251" s="14"/>
      <c r="I251" s="15"/>
      <c r="J251" s="14"/>
      <c r="K251" s="15"/>
      <c r="L251" s="16"/>
      <c r="M251" s="17"/>
      <c r="N251" s="18" t="str">
        <f aca="false">IF(B251="","",IF(J251="Sí","Multa aplicada",IF(J251="No","Sin multa",IF(H251="Sí","Descargo enviado","Pendiente"))))</f>
        <v/>
      </c>
    </row>
    <row r="252" customFormat="false" ht="15" hidden="false" customHeight="false" outlineLevel="0" collapsed="false">
      <c r="A252" s="6" t="str">
        <f aca="false">IF('Carga Vigilador'!A252="","",'Carga Vigilador'!A252)</f>
        <v/>
      </c>
      <c r="B252" s="11" t="str">
        <f aca="false">IF('Carga Vigilador'!B252="","",'Carga Vigilador'!B252)</f>
        <v/>
      </c>
      <c r="C252" s="12" t="str">
        <f aca="false">IF('Carga Vigilador'!C252="","",'Carga Vigilador'!C252)</f>
        <v/>
      </c>
      <c r="D252" s="13" t="str">
        <f aca="false">IF('Carga Vigilador'!D252="","",'Carga Vigilador'!D252)</f>
        <v/>
      </c>
      <c r="E252" s="6" t="str">
        <f aca="false">IF('Carga Vigilador'!E252="","",'Carga Vigilador'!E252)</f>
        <v/>
      </c>
      <c r="F252" s="13" t="str">
        <f aca="false">IF('Carga Vigilador'!F252="","",'Carga Vigilador'!F252)</f>
        <v/>
      </c>
      <c r="G252" s="13" t="str">
        <f aca="false">IF('Carga Vigilador'!G252="","",'Carga Vigilador'!G252)</f>
        <v/>
      </c>
      <c r="H252" s="14"/>
      <c r="I252" s="15"/>
      <c r="J252" s="14"/>
      <c r="K252" s="15"/>
      <c r="L252" s="16"/>
      <c r="M252" s="17"/>
      <c r="N252" s="18" t="str">
        <f aca="false">IF(B252="","",IF(J252="Sí","Multa aplicada",IF(J252="No","Sin multa",IF(H252="Sí","Descargo enviado","Pendiente"))))</f>
        <v/>
      </c>
    </row>
    <row r="253" customFormat="false" ht="15" hidden="false" customHeight="false" outlineLevel="0" collapsed="false">
      <c r="A253" s="6" t="str">
        <f aca="false">IF('Carga Vigilador'!A253="","",'Carga Vigilador'!A253)</f>
        <v/>
      </c>
      <c r="B253" s="11" t="str">
        <f aca="false">IF('Carga Vigilador'!B253="","",'Carga Vigilador'!B253)</f>
        <v/>
      </c>
      <c r="C253" s="12" t="str">
        <f aca="false">IF('Carga Vigilador'!C253="","",'Carga Vigilador'!C253)</f>
        <v/>
      </c>
      <c r="D253" s="13" t="str">
        <f aca="false">IF('Carga Vigilador'!D253="","",'Carga Vigilador'!D253)</f>
        <v/>
      </c>
      <c r="E253" s="6" t="str">
        <f aca="false">IF('Carga Vigilador'!E253="","",'Carga Vigilador'!E253)</f>
        <v/>
      </c>
      <c r="F253" s="13" t="str">
        <f aca="false">IF('Carga Vigilador'!F253="","",'Carga Vigilador'!F253)</f>
        <v/>
      </c>
      <c r="G253" s="13" t="str">
        <f aca="false">IF('Carga Vigilador'!G253="","",'Carga Vigilador'!G253)</f>
        <v/>
      </c>
      <c r="H253" s="14"/>
      <c r="I253" s="15"/>
      <c r="J253" s="14"/>
      <c r="K253" s="15"/>
      <c r="L253" s="16"/>
      <c r="M253" s="17"/>
      <c r="N253" s="18" t="str">
        <f aca="false">IF(B253="","",IF(J253="Sí","Multa aplicada",IF(J253="No","Sin multa",IF(H253="Sí","Descargo enviado","Pendiente"))))</f>
        <v/>
      </c>
    </row>
    <row r="254" customFormat="false" ht="15" hidden="false" customHeight="false" outlineLevel="0" collapsed="false">
      <c r="A254" s="6" t="str">
        <f aca="false">IF('Carga Vigilador'!A254="","",'Carga Vigilador'!A254)</f>
        <v/>
      </c>
      <c r="B254" s="11" t="str">
        <f aca="false">IF('Carga Vigilador'!B254="","",'Carga Vigilador'!B254)</f>
        <v/>
      </c>
      <c r="C254" s="12" t="str">
        <f aca="false">IF('Carga Vigilador'!C254="","",'Carga Vigilador'!C254)</f>
        <v/>
      </c>
      <c r="D254" s="13" t="str">
        <f aca="false">IF('Carga Vigilador'!D254="","",'Carga Vigilador'!D254)</f>
        <v/>
      </c>
      <c r="E254" s="6" t="str">
        <f aca="false">IF('Carga Vigilador'!E254="","",'Carga Vigilador'!E254)</f>
        <v/>
      </c>
      <c r="F254" s="13" t="str">
        <f aca="false">IF('Carga Vigilador'!F254="","",'Carga Vigilador'!F254)</f>
        <v/>
      </c>
      <c r="G254" s="13" t="str">
        <f aca="false">IF('Carga Vigilador'!G254="","",'Carga Vigilador'!G254)</f>
        <v/>
      </c>
      <c r="H254" s="14"/>
      <c r="I254" s="15"/>
      <c r="J254" s="14"/>
      <c r="K254" s="15"/>
      <c r="L254" s="16"/>
      <c r="M254" s="17"/>
      <c r="N254" s="18" t="str">
        <f aca="false">IF(B254="","",IF(J254="Sí","Multa aplicada",IF(J254="No","Sin multa",IF(H254="Sí","Descargo enviado","Pendiente"))))</f>
        <v/>
      </c>
    </row>
    <row r="255" customFormat="false" ht="15" hidden="false" customHeight="false" outlineLevel="0" collapsed="false">
      <c r="A255" s="6" t="str">
        <f aca="false">IF('Carga Vigilador'!A255="","",'Carga Vigilador'!A255)</f>
        <v/>
      </c>
      <c r="B255" s="11" t="str">
        <f aca="false">IF('Carga Vigilador'!B255="","",'Carga Vigilador'!B255)</f>
        <v/>
      </c>
      <c r="C255" s="12" t="str">
        <f aca="false">IF('Carga Vigilador'!C255="","",'Carga Vigilador'!C255)</f>
        <v/>
      </c>
      <c r="D255" s="13" t="str">
        <f aca="false">IF('Carga Vigilador'!D255="","",'Carga Vigilador'!D255)</f>
        <v/>
      </c>
      <c r="E255" s="6" t="str">
        <f aca="false">IF('Carga Vigilador'!E255="","",'Carga Vigilador'!E255)</f>
        <v/>
      </c>
      <c r="F255" s="13" t="str">
        <f aca="false">IF('Carga Vigilador'!F255="","",'Carga Vigilador'!F255)</f>
        <v/>
      </c>
      <c r="G255" s="13" t="str">
        <f aca="false">IF('Carga Vigilador'!G255="","",'Carga Vigilador'!G255)</f>
        <v/>
      </c>
      <c r="H255" s="14"/>
      <c r="I255" s="15"/>
      <c r="J255" s="14"/>
      <c r="K255" s="15"/>
      <c r="L255" s="16"/>
      <c r="M255" s="17"/>
      <c r="N255" s="18" t="str">
        <f aca="false">IF(B255="","",IF(J255="Sí","Multa aplicada",IF(J255="No","Sin multa",IF(H255="Sí","Descargo enviado","Pendiente"))))</f>
        <v/>
      </c>
    </row>
    <row r="256" customFormat="false" ht="15" hidden="false" customHeight="false" outlineLevel="0" collapsed="false">
      <c r="A256" s="6" t="str">
        <f aca="false">IF('Carga Vigilador'!A256="","",'Carga Vigilador'!A256)</f>
        <v/>
      </c>
      <c r="B256" s="11" t="str">
        <f aca="false">IF('Carga Vigilador'!B256="","",'Carga Vigilador'!B256)</f>
        <v/>
      </c>
      <c r="C256" s="12" t="str">
        <f aca="false">IF('Carga Vigilador'!C256="","",'Carga Vigilador'!C256)</f>
        <v/>
      </c>
      <c r="D256" s="13" t="str">
        <f aca="false">IF('Carga Vigilador'!D256="","",'Carga Vigilador'!D256)</f>
        <v/>
      </c>
      <c r="E256" s="6" t="str">
        <f aca="false">IF('Carga Vigilador'!E256="","",'Carga Vigilador'!E256)</f>
        <v/>
      </c>
      <c r="F256" s="13" t="str">
        <f aca="false">IF('Carga Vigilador'!F256="","",'Carga Vigilador'!F256)</f>
        <v/>
      </c>
      <c r="G256" s="13" t="str">
        <f aca="false">IF('Carga Vigilador'!G256="","",'Carga Vigilador'!G256)</f>
        <v/>
      </c>
      <c r="H256" s="14"/>
      <c r="I256" s="15"/>
      <c r="J256" s="14"/>
      <c r="K256" s="15"/>
      <c r="L256" s="16"/>
      <c r="M256" s="17"/>
      <c r="N256" s="18" t="str">
        <f aca="false">IF(B256="","",IF(J256="Sí","Multa aplicada",IF(J256="No","Sin multa",IF(H256="Sí","Descargo enviado","Pendiente"))))</f>
        <v/>
      </c>
    </row>
    <row r="257" customFormat="false" ht="15" hidden="false" customHeight="false" outlineLevel="0" collapsed="false">
      <c r="A257" s="6" t="str">
        <f aca="false">IF('Carga Vigilador'!A257="","",'Carga Vigilador'!A257)</f>
        <v/>
      </c>
      <c r="B257" s="11" t="str">
        <f aca="false">IF('Carga Vigilador'!B257="","",'Carga Vigilador'!B257)</f>
        <v/>
      </c>
      <c r="C257" s="12" t="str">
        <f aca="false">IF('Carga Vigilador'!C257="","",'Carga Vigilador'!C257)</f>
        <v/>
      </c>
      <c r="D257" s="13" t="str">
        <f aca="false">IF('Carga Vigilador'!D257="","",'Carga Vigilador'!D257)</f>
        <v/>
      </c>
      <c r="E257" s="6" t="str">
        <f aca="false">IF('Carga Vigilador'!E257="","",'Carga Vigilador'!E257)</f>
        <v/>
      </c>
      <c r="F257" s="13" t="str">
        <f aca="false">IF('Carga Vigilador'!F257="","",'Carga Vigilador'!F257)</f>
        <v/>
      </c>
      <c r="G257" s="13" t="str">
        <f aca="false">IF('Carga Vigilador'!G257="","",'Carga Vigilador'!G257)</f>
        <v/>
      </c>
      <c r="H257" s="14"/>
      <c r="I257" s="15"/>
      <c r="J257" s="14"/>
      <c r="K257" s="15"/>
      <c r="L257" s="16"/>
      <c r="M257" s="17"/>
      <c r="N257" s="18" t="str">
        <f aca="false">IF(B257="","",IF(J257="Sí","Multa aplicada",IF(J257="No","Sin multa",IF(H257="Sí","Descargo enviado","Pendiente"))))</f>
        <v/>
      </c>
    </row>
    <row r="258" customFormat="false" ht="15" hidden="false" customHeight="false" outlineLevel="0" collapsed="false">
      <c r="A258" s="6" t="str">
        <f aca="false">IF('Carga Vigilador'!A258="","",'Carga Vigilador'!A258)</f>
        <v/>
      </c>
      <c r="B258" s="11" t="str">
        <f aca="false">IF('Carga Vigilador'!B258="","",'Carga Vigilador'!B258)</f>
        <v/>
      </c>
      <c r="C258" s="12" t="str">
        <f aca="false">IF('Carga Vigilador'!C258="","",'Carga Vigilador'!C258)</f>
        <v/>
      </c>
      <c r="D258" s="13" t="str">
        <f aca="false">IF('Carga Vigilador'!D258="","",'Carga Vigilador'!D258)</f>
        <v/>
      </c>
      <c r="E258" s="6" t="str">
        <f aca="false">IF('Carga Vigilador'!E258="","",'Carga Vigilador'!E258)</f>
        <v/>
      </c>
      <c r="F258" s="13" t="str">
        <f aca="false">IF('Carga Vigilador'!F258="","",'Carga Vigilador'!F258)</f>
        <v/>
      </c>
      <c r="G258" s="13" t="str">
        <f aca="false">IF('Carga Vigilador'!G258="","",'Carga Vigilador'!G258)</f>
        <v/>
      </c>
      <c r="H258" s="14"/>
      <c r="I258" s="15"/>
      <c r="J258" s="14"/>
      <c r="K258" s="15"/>
      <c r="L258" s="16"/>
      <c r="M258" s="17"/>
      <c r="N258" s="18" t="str">
        <f aca="false">IF(B258="","",IF(J258="Sí","Multa aplicada",IF(J258="No","Sin multa",IF(H258="Sí","Descargo enviado","Pendiente"))))</f>
        <v/>
      </c>
    </row>
    <row r="259" customFormat="false" ht="15" hidden="false" customHeight="false" outlineLevel="0" collapsed="false">
      <c r="A259" s="6" t="str">
        <f aca="false">IF('Carga Vigilador'!A259="","",'Carga Vigilador'!A259)</f>
        <v/>
      </c>
      <c r="B259" s="11" t="str">
        <f aca="false">IF('Carga Vigilador'!B259="","",'Carga Vigilador'!B259)</f>
        <v/>
      </c>
      <c r="C259" s="12" t="str">
        <f aca="false">IF('Carga Vigilador'!C259="","",'Carga Vigilador'!C259)</f>
        <v/>
      </c>
      <c r="D259" s="13" t="str">
        <f aca="false">IF('Carga Vigilador'!D259="","",'Carga Vigilador'!D259)</f>
        <v/>
      </c>
      <c r="E259" s="6" t="str">
        <f aca="false">IF('Carga Vigilador'!E259="","",'Carga Vigilador'!E259)</f>
        <v/>
      </c>
      <c r="F259" s="13" t="str">
        <f aca="false">IF('Carga Vigilador'!F259="","",'Carga Vigilador'!F259)</f>
        <v/>
      </c>
      <c r="G259" s="13" t="str">
        <f aca="false">IF('Carga Vigilador'!G259="","",'Carga Vigilador'!G259)</f>
        <v/>
      </c>
      <c r="H259" s="14"/>
      <c r="I259" s="15"/>
      <c r="J259" s="14"/>
      <c r="K259" s="15"/>
      <c r="L259" s="16"/>
      <c r="M259" s="17"/>
      <c r="N259" s="18" t="str">
        <f aca="false">IF(B259="","",IF(J259="Sí","Multa aplicada",IF(J259="No","Sin multa",IF(H259="Sí","Descargo enviado","Pendiente"))))</f>
        <v/>
      </c>
    </row>
    <row r="260" customFormat="false" ht="15" hidden="false" customHeight="false" outlineLevel="0" collapsed="false">
      <c r="A260" s="6" t="str">
        <f aca="false">IF('Carga Vigilador'!A260="","",'Carga Vigilador'!A260)</f>
        <v/>
      </c>
      <c r="B260" s="11" t="str">
        <f aca="false">IF('Carga Vigilador'!B260="","",'Carga Vigilador'!B260)</f>
        <v/>
      </c>
      <c r="C260" s="12" t="str">
        <f aca="false">IF('Carga Vigilador'!C260="","",'Carga Vigilador'!C260)</f>
        <v/>
      </c>
      <c r="D260" s="13" t="str">
        <f aca="false">IF('Carga Vigilador'!D260="","",'Carga Vigilador'!D260)</f>
        <v/>
      </c>
      <c r="E260" s="6" t="str">
        <f aca="false">IF('Carga Vigilador'!E260="","",'Carga Vigilador'!E260)</f>
        <v/>
      </c>
      <c r="F260" s="13" t="str">
        <f aca="false">IF('Carga Vigilador'!F260="","",'Carga Vigilador'!F260)</f>
        <v/>
      </c>
      <c r="G260" s="13" t="str">
        <f aca="false">IF('Carga Vigilador'!G260="","",'Carga Vigilador'!G260)</f>
        <v/>
      </c>
      <c r="H260" s="14"/>
      <c r="I260" s="15"/>
      <c r="J260" s="14"/>
      <c r="K260" s="15"/>
      <c r="L260" s="16"/>
      <c r="M260" s="17"/>
      <c r="N260" s="18" t="str">
        <f aca="false">IF(B260="","",IF(J260="Sí","Multa aplicada",IF(J260="No","Sin multa",IF(H260="Sí","Descargo enviado","Pendiente"))))</f>
        <v/>
      </c>
    </row>
    <row r="261" customFormat="false" ht="15" hidden="false" customHeight="false" outlineLevel="0" collapsed="false">
      <c r="A261" s="6" t="str">
        <f aca="false">IF('Carga Vigilador'!A261="","",'Carga Vigilador'!A261)</f>
        <v/>
      </c>
      <c r="B261" s="11" t="str">
        <f aca="false">IF('Carga Vigilador'!B261="","",'Carga Vigilador'!B261)</f>
        <v/>
      </c>
      <c r="C261" s="12" t="str">
        <f aca="false">IF('Carga Vigilador'!C261="","",'Carga Vigilador'!C261)</f>
        <v/>
      </c>
      <c r="D261" s="13" t="str">
        <f aca="false">IF('Carga Vigilador'!D261="","",'Carga Vigilador'!D261)</f>
        <v/>
      </c>
      <c r="E261" s="6" t="str">
        <f aca="false">IF('Carga Vigilador'!E261="","",'Carga Vigilador'!E261)</f>
        <v/>
      </c>
      <c r="F261" s="13" t="str">
        <f aca="false">IF('Carga Vigilador'!F261="","",'Carga Vigilador'!F261)</f>
        <v/>
      </c>
      <c r="G261" s="13" t="str">
        <f aca="false">IF('Carga Vigilador'!G261="","",'Carga Vigilador'!G261)</f>
        <v/>
      </c>
      <c r="H261" s="14"/>
      <c r="I261" s="15"/>
      <c r="J261" s="14"/>
      <c r="K261" s="15"/>
      <c r="L261" s="16"/>
      <c r="M261" s="17"/>
      <c r="N261" s="18" t="str">
        <f aca="false">IF(B261="","",IF(J261="Sí","Multa aplicada",IF(J261="No","Sin multa",IF(H261="Sí","Descargo enviado","Pendiente"))))</f>
        <v/>
      </c>
    </row>
    <row r="262" customFormat="false" ht="15" hidden="false" customHeight="false" outlineLevel="0" collapsed="false">
      <c r="A262" s="6" t="str">
        <f aca="false">IF('Carga Vigilador'!A262="","",'Carga Vigilador'!A262)</f>
        <v/>
      </c>
      <c r="B262" s="11" t="str">
        <f aca="false">IF('Carga Vigilador'!B262="","",'Carga Vigilador'!B262)</f>
        <v/>
      </c>
      <c r="C262" s="12" t="str">
        <f aca="false">IF('Carga Vigilador'!C262="","",'Carga Vigilador'!C262)</f>
        <v/>
      </c>
      <c r="D262" s="13" t="str">
        <f aca="false">IF('Carga Vigilador'!D262="","",'Carga Vigilador'!D262)</f>
        <v/>
      </c>
      <c r="E262" s="6" t="str">
        <f aca="false">IF('Carga Vigilador'!E262="","",'Carga Vigilador'!E262)</f>
        <v/>
      </c>
      <c r="F262" s="13" t="str">
        <f aca="false">IF('Carga Vigilador'!F262="","",'Carga Vigilador'!F262)</f>
        <v/>
      </c>
      <c r="G262" s="13" t="str">
        <f aca="false">IF('Carga Vigilador'!G262="","",'Carga Vigilador'!G262)</f>
        <v/>
      </c>
      <c r="H262" s="14"/>
      <c r="I262" s="15"/>
      <c r="J262" s="14"/>
      <c r="K262" s="15"/>
      <c r="L262" s="16"/>
      <c r="M262" s="17"/>
      <c r="N262" s="18" t="str">
        <f aca="false">IF(B262="","",IF(J262="Sí","Multa aplicada",IF(J262="No","Sin multa",IF(H262="Sí","Descargo enviado","Pendiente"))))</f>
        <v/>
      </c>
    </row>
    <row r="263" customFormat="false" ht="15" hidden="false" customHeight="false" outlineLevel="0" collapsed="false">
      <c r="A263" s="6" t="str">
        <f aca="false">IF('Carga Vigilador'!A263="","",'Carga Vigilador'!A263)</f>
        <v/>
      </c>
      <c r="B263" s="11" t="str">
        <f aca="false">IF('Carga Vigilador'!B263="","",'Carga Vigilador'!B263)</f>
        <v/>
      </c>
      <c r="C263" s="12" t="str">
        <f aca="false">IF('Carga Vigilador'!C263="","",'Carga Vigilador'!C263)</f>
        <v/>
      </c>
      <c r="D263" s="13" t="str">
        <f aca="false">IF('Carga Vigilador'!D263="","",'Carga Vigilador'!D263)</f>
        <v/>
      </c>
      <c r="E263" s="6" t="str">
        <f aca="false">IF('Carga Vigilador'!E263="","",'Carga Vigilador'!E263)</f>
        <v/>
      </c>
      <c r="F263" s="13" t="str">
        <f aca="false">IF('Carga Vigilador'!F263="","",'Carga Vigilador'!F263)</f>
        <v/>
      </c>
      <c r="G263" s="13" t="str">
        <f aca="false">IF('Carga Vigilador'!G263="","",'Carga Vigilador'!G263)</f>
        <v/>
      </c>
      <c r="H263" s="14"/>
      <c r="I263" s="15"/>
      <c r="J263" s="14"/>
      <c r="K263" s="15"/>
      <c r="L263" s="16"/>
      <c r="M263" s="17"/>
      <c r="N263" s="18" t="str">
        <f aca="false">IF(B263="","",IF(J263="Sí","Multa aplicada",IF(J263="No","Sin multa",IF(H263="Sí","Descargo enviado","Pendiente"))))</f>
        <v/>
      </c>
    </row>
    <row r="264" customFormat="false" ht="15" hidden="false" customHeight="false" outlineLevel="0" collapsed="false">
      <c r="A264" s="6" t="str">
        <f aca="false">IF('Carga Vigilador'!A264="","",'Carga Vigilador'!A264)</f>
        <v/>
      </c>
      <c r="B264" s="11" t="str">
        <f aca="false">IF('Carga Vigilador'!B264="","",'Carga Vigilador'!B264)</f>
        <v/>
      </c>
      <c r="C264" s="12" t="str">
        <f aca="false">IF('Carga Vigilador'!C264="","",'Carga Vigilador'!C264)</f>
        <v/>
      </c>
      <c r="D264" s="13" t="str">
        <f aca="false">IF('Carga Vigilador'!D264="","",'Carga Vigilador'!D264)</f>
        <v/>
      </c>
      <c r="E264" s="6" t="str">
        <f aca="false">IF('Carga Vigilador'!E264="","",'Carga Vigilador'!E264)</f>
        <v/>
      </c>
      <c r="F264" s="13" t="str">
        <f aca="false">IF('Carga Vigilador'!F264="","",'Carga Vigilador'!F264)</f>
        <v/>
      </c>
      <c r="G264" s="13" t="str">
        <f aca="false">IF('Carga Vigilador'!G264="","",'Carga Vigilador'!G264)</f>
        <v/>
      </c>
      <c r="H264" s="14"/>
      <c r="I264" s="15"/>
      <c r="J264" s="14"/>
      <c r="K264" s="15"/>
      <c r="L264" s="16"/>
      <c r="M264" s="17"/>
      <c r="N264" s="18" t="str">
        <f aca="false">IF(B264="","",IF(J264="Sí","Multa aplicada",IF(J264="No","Sin multa",IF(H264="Sí","Descargo enviado","Pendiente"))))</f>
        <v/>
      </c>
    </row>
    <row r="265" customFormat="false" ht="15" hidden="false" customHeight="false" outlineLevel="0" collapsed="false">
      <c r="A265" s="6" t="str">
        <f aca="false">IF('Carga Vigilador'!A265="","",'Carga Vigilador'!A265)</f>
        <v/>
      </c>
      <c r="B265" s="11" t="str">
        <f aca="false">IF('Carga Vigilador'!B265="","",'Carga Vigilador'!B265)</f>
        <v/>
      </c>
      <c r="C265" s="12" t="str">
        <f aca="false">IF('Carga Vigilador'!C265="","",'Carga Vigilador'!C265)</f>
        <v/>
      </c>
      <c r="D265" s="13" t="str">
        <f aca="false">IF('Carga Vigilador'!D265="","",'Carga Vigilador'!D265)</f>
        <v/>
      </c>
      <c r="E265" s="6" t="str">
        <f aca="false">IF('Carga Vigilador'!E265="","",'Carga Vigilador'!E265)</f>
        <v/>
      </c>
      <c r="F265" s="13" t="str">
        <f aca="false">IF('Carga Vigilador'!F265="","",'Carga Vigilador'!F265)</f>
        <v/>
      </c>
      <c r="G265" s="13" t="str">
        <f aca="false">IF('Carga Vigilador'!G265="","",'Carga Vigilador'!G265)</f>
        <v/>
      </c>
      <c r="H265" s="14"/>
      <c r="I265" s="15"/>
      <c r="J265" s="14"/>
      <c r="K265" s="15"/>
      <c r="L265" s="16"/>
      <c r="M265" s="17"/>
      <c r="N265" s="18" t="str">
        <f aca="false">IF(B265="","",IF(J265="Sí","Multa aplicada",IF(J265="No","Sin multa",IF(H265="Sí","Descargo enviado","Pendiente"))))</f>
        <v/>
      </c>
    </row>
    <row r="266" customFormat="false" ht="15" hidden="false" customHeight="false" outlineLevel="0" collapsed="false">
      <c r="A266" s="6" t="str">
        <f aca="false">IF('Carga Vigilador'!A266="","",'Carga Vigilador'!A266)</f>
        <v/>
      </c>
      <c r="B266" s="11" t="str">
        <f aca="false">IF('Carga Vigilador'!B266="","",'Carga Vigilador'!B266)</f>
        <v/>
      </c>
      <c r="C266" s="12" t="str">
        <f aca="false">IF('Carga Vigilador'!C266="","",'Carga Vigilador'!C266)</f>
        <v/>
      </c>
      <c r="D266" s="13" t="str">
        <f aca="false">IF('Carga Vigilador'!D266="","",'Carga Vigilador'!D266)</f>
        <v/>
      </c>
      <c r="E266" s="6" t="str">
        <f aca="false">IF('Carga Vigilador'!E266="","",'Carga Vigilador'!E266)</f>
        <v/>
      </c>
      <c r="F266" s="13" t="str">
        <f aca="false">IF('Carga Vigilador'!F266="","",'Carga Vigilador'!F266)</f>
        <v/>
      </c>
      <c r="G266" s="13" t="str">
        <f aca="false">IF('Carga Vigilador'!G266="","",'Carga Vigilador'!G266)</f>
        <v/>
      </c>
      <c r="H266" s="14"/>
      <c r="I266" s="15"/>
      <c r="J266" s="14"/>
      <c r="K266" s="15"/>
      <c r="L266" s="16"/>
      <c r="M266" s="17"/>
      <c r="N266" s="18" t="str">
        <f aca="false">IF(B266="","",IF(J266="Sí","Multa aplicada",IF(J266="No","Sin multa",IF(H266="Sí","Descargo enviado","Pendiente"))))</f>
        <v/>
      </c>
    </row>
    <row r="267" customFormat="false" ht="15" hidden="false" customHeight="false" outlineLevel="0" collapsed="false">
      <c r="A267" s="6" t="str">
        <f aca="false">IF('Carga Vigilador'!A267="","",'Carga Vigilador'!A267)</f>
        <v/>
      </c>
      <c r="B267" s="11" t="str">
        <f aca="false">IF('Carga Vigilador'!B267="","",'Carga Vigilador'!B267)</f>
        <v/>
      </c>
      <c r="C267" s="12" t="str">
        <f aca="false">IF('Carga Vigilador'!C267="","",'Carga Vigilador'!C267)</f>
        <v/>
      </c>
      <c r="D267" s="13" t="str">
        <f aca="false">IF('Carga Vigilador'!D267="","",'Carga Vigilador'!D267)</f>
        <v/>
      </c>
      <c r="E267" s="6" t="str">
        <f aca="false">IF('Carga Vigilador'!E267="","",'Carga Vigilador'!E267)</f>
        <v/>
      </c>
      <c r="F267" s="13" t="str">
        <f aca="false">IF('Carga Vigilador'!F267="","",'Carga Vigilador'!F267)</f>
        <v/>
      </c>
      <c r="G267" s="13" t="str">
        <f aca="false">IF('Carga Vigilador'!G267="","",'Carga Vigilador'!G267)</f>
        <v/>
      </c>
      <c r="H267" s="14"/>
      <c r="I267" s="15"/>
      <c r="J267" s="14"/>
      <c r="K267" s="15"/>
      <c r="L267" s="16"/>
      <c r="M267" s="17"/>
      <c r="N267" s="18" t="str">
        <f aca="false">IF(B267="","",IF(J267="Sí","Multa aplicada",IF(J267="No","Sin multa",IF(H267="Sí","Descargo enviado","Pendiente"))))</f>
        <v/>
      </c>
    </row>
    <row r="268" customFormat="false" ht="15" hidden="false" customHeight="false" outlineLevel="0" collapsed="false">
      <c r="A268" s="6" t="str">
        <f aca="false">IF('Carga Vigilador'!A268="","",'Carga Vigilador'!A268)</f>
        <v/>
      </c>
      <c r="B268" s="11" t="str">
        <f aca="false">IF('Carga Vigilador'!B268="","",'Carga Vigilador'!B268)</f>
        <v/>
      </c>
      <c r="C268" s="12" t="str">
        <f aca="false">IF('Carga Vigilador'!C268="","",'Carga Vigilador'!C268)</f>
        <v/>
      </c>
      <c r="D268" s="13" t="str">
        <f aca="false">IF('Carga Vigilador'!D268="","",'Carga Vigilador'!D268)</f>
        <v/>
      </c>
      <c r="E268" s="6" t="str">
        <f aca="false">IF('Carga Vigilador'!E268="","",'Carga Vigilador'!E268)</f>
        <v/>
      </c>
      <c r="F268" s="13" t="str">
        <f aca="false">IF('Carga Vigilador'!F268="","",'Carga Vigilador'!F268)</f>
        <v/>
      </c>
      <c r="G268" s="13" t="str">
        <f aca="false">IF('Carga Vigilador'!G268="","",'Carga Vigilador'!G268)</f>
        <v/>
      </c>
      <c r="H268" s="14"/>
      <c r="I268" s="15"/>
      <c r="J268" s="14"/>
      <c r="K268" s="15"/>
      <c r="L268" s="16"/>
      <c r="M268" s="17"/>
      <c r="N268" s="18" t="str">
        <f aca="false">IF(B268="","",IF(J268="Sí","Multa aplicada",IF(J268="No","Sin multa",IF(H268="Sí","Descargo enviado","Pendiente"))))</f>
        <v/>
      </c>
    </row>
    <row r="269" customFormat="false" ht="15" hidden="false" customHeight="false" outlineLevel="0" collapsed="false">
      <c r="A269" s="6" t="str">
        <f aca="false">IF('Carga Vigilador'!A269="","",'Carga Vigilador'!A269)</f>
        <v/>
      </c>
      <c r="B269" s="11" t="str">
        <f aca="false">IF('Carga Vigilador'!B269="","",'Carga Vigilador'!B269)</f>
        <v/>
      </c>
      <c r="C269" s="12" t="str">
        <f aca="false">IF('Carga Vigilador'!C269="","",'Carga Vigilador'!C269)</f>
        <v/>
      </c>
      <c r="D269" s="13" t="str">
        <f aca="false">IF('Carga Vigilador'!D269="","",'Carga Vigilador'!D269)</f>
        <v/>
      </c>
      <c r="E269" s="6" t="str">
        <f aca="false">IF('Carga Vigilador'!E269="","",'Carga Vigilador'!E269)</f>
        <v/>
      </c>
      <c r="F269" s="13" t="str">
        <f aca="false">IF('Carga Vigilador'!F269="","",'Carga Vigilador'!F269)</f>
        <v/>
      </c>
      <c r="G269" s="13" t="str">
        <f aca="false">IF('Carga Vigilador'!G269="","",'Carga Vigilador'!G269)</f>
        <v/>
      </c>
      <c r="H269" s="14"/>
      <c r="I269" s="15"/>
      <c r="J269" s="14"/>
      <c r="K269" s="15"/>
      <c r="L269" s="16"/>
      <c r="M269" s="17"/>
      <c r="N269" s="18" t="str">
        <f aca="false">IF(B269="","",IF(J269="Sí","Multa aplicada",IF(J269="No","Sin multa",IF(H269="Sí","Descargo enviado","Pendiente"))))</f>
        <v/>
      </c>
    </row>
    <row r="270" customFormat="false" ht="15" hidden="false" customHeight="false" outlineLevel="0" collapsed="false">
      <c r="A270" s="6" t="str">
        <f aca="false">IF('Carga Vigilador'!A270="","",'Carga Vigilador'!A270)</f>
        <v/>
      </c>
      <c r="B270" s="11" t="str">
        <f aca="false">IF('Carga Vigilador'!B270="","",'Carga Vigilador'!B270)</f>
        <v/>
      </c>
      <c r="C270" s="12" t="str">
        <f aca="false">IF('Carga Vigilador'!C270="","",'Carga Vigilador'!C270)</f>
        <v/>
      </c>
      <c r="D270" s="13" t="str">
        <f aca="false">IF('Carga Vigilador'!D270="","",'Carga Vigilador'!D270)</f>
        <v/>
      </c>
      <c r="E270" s="6" t="str">
        <f aca="false">IF('Carga Vigilador'!E270="","",'Carga Vigilador'!E270)</f>
        <v/>
      </c>
      <c r="F270" s="13" t="str">
        <f aca="false">IF('Carga Vigilador'!F270="","",'Carga Vigilador'!F270)</f>
        <v/>
      </c>
      <c r="G270" s="13" t="str">
        <f aca="false">IF('Carga Vigilador'!G270="","",'Carga Vigilador'!G270)</f>
        <v/>
      </c>
      <c r="H270" s="14"/>
      <c r="I270" s="15"/>
      <c r="J270" s="14"/>
      <c r="K270" s="15"/>
      <c r="L270" s="16"/>
      <c r="M270" s="17"/>
      <c r="N270" s="18" t="str">
        <f aca="false">IF(B270="","",IF(J270="Sí","Multa aplicada",IF(J270="No","Sin multa",IF(H270="Sí","Descargo enviado","Pendiente"))))</f>
        <v/>
      </c>
    </row>
    <row r="271" customFormat="false" ht="15" hidden="false" customHeight="false" outlineLevel="0" collapsed="false">
      <c r="A271" s="6" t="str">
        <f aca="false">IF('Carga Vigilador'!A271="","",'Carga Vigilador'!A271)</f>
        <v/>
      </c>
      <c r="B271" s="11" t="str">
        <f aca="false">IF('Carga Vigilador'!B271="","",'Carga Vigilador'!B271)</f>
        <v/>
      </c>
      <c r="C271" s="12" t="str">
        <f aca="false">IF('Carga Vigilador'!C271="","",'Carga Vigilador'!C271)</f>
        <v/>
      </c>
      <c r="D271" s="13" t="str">
        <f aca="false">IF('Carga Vigilador'!D271="","",'Carga Vigilador'!D271)</f>
        <v/>
      </c>
      <c r="E271" s="6" t="str">
        <f aca="false">IF('Carga Vigilador'!E271="","",'Carga Vigilador'!E271)</f>
        <v/>
      </c>
      <c r="F271" s="13" t="str">
        <f aca="false">IF('Carga Vigilador'!F271="","",'Carga Vigilador'!F271)</f>
        <v/>
      </c>
      <c r="G271" s="13" t="str">
        <f aca="false">IF('Carga Vigilador'!G271="","",'Carga Vigilador'!G271)</f>
        <v/>
      </c>
      <c r="H271" s="14"/>
      <c r="I271" s="15"/>
      <c r="J271" s="14"/>
      <c r="K271" s="15"/>
      <c r="L271" s="16"/>
      <c r="M271" s="17"/>
      <c r="N271" s="18" t="str">
        <f aca="false">IF(B271="","",IF(J271="Sí","Multa aplicada",IF(J271="No","Sin multa",IF(H271="Sí","Descargo enviado","Pendiente"))))</f>
        <v/>
      </c>
    </row>
    <row r="272" customFormat="false" ht="15" hidden="false" customHeight="false" outlineLevel="0" collapsed="false">
      <c r="A272" s="6" t="str">
        <f aca="false">IF('Carga Vigilador'!A272="","",'Carga Vigilador'!A272)</f>
        <v/>
      </c>
      <c r="B272" s="11" t="str">
        <f aca="false">IF('Carga Vigilador'!B272="","",'Carga Vigilador'!B272)</f>
        <v/>
      </c>
      <c r="C272" s="12" t="str">
        <f aca="false">IF('Carga Vigilador'!C272="","",'Carga Vigilador'!C272)</f>
        <v/>
      </c>
      <c r="D272" s="13" t="str">
        <f aca="false">IF('Carga Vigilador'!D272="","",'Carga Vigilador'!D272)</f>
        <v/>
      </c>
      <c r="E272" s="6" t="str">
        <f aca="false">IF('Carga Vigilador'!E272="","",'Carga Vigilador'!E272)</f>
        <v/>
      </c>
      <c r="F272" s="13" t="str">
        <f aca="false">IF('Carga Vigilador'!F272="","",'Carga Vigilador'!F272)</f>
        <v/>
      </c>
      <c r="G272" s="13" t="str">
        <f aca="false">IF('Carga Vigilador'!G272="","",'Carga Vigilador'!G272)</f>
        <v/>
      </c>
      <c r="H272" s="14"/>
      <c r="I272" s="15"/>
      <c r="J272" s="14"/>
      <c r="K272" s="15"/>
      <c r="L272" s="16"/>
      <c r="M272" s="17"/>
      <c r="N272" s="18" t="str">
        <f aca="false">IF(B272="","",IF(J272="Sí","Multa aplicada",IF(J272="No","Sin multa",IF(H272="Sí","Descargo enviado","Pendiente"))))</f>
        <v/>
      </c>
    </row>
    <row r="273" customFormat="false" ht="15" hidden="false" customHeight="false" outlineLevel="0" collapsed="false">
      <c r="A273" s="6" t="str">
        <f aca="false">IF('Carga Vigilador'!A273="","",'Carga Vigilador'!A273)</f>
        <v/>
      </c>
      <c r="B273" s="11" t="str">
        <f aca="false">IF('Carga Vigilador'!B273="","",'Carga Vigilador'!B273)</f>
        <v/>
      </c>
      <c r="C273" s="12" t="str">
        <f aca="false">IF('Carga Vigilador'!C273="","",'Carga Vigilador'!C273)</f>
        <v/>
      </c>
      <c r="D273" s="13" t="str">
        <f aca="false">IF('Carga Vigilador'!D273="","",'Carga Vigilador'!D273)</f>
        <v/>
      </c>
      <c r="E273" s="6" t="str">
        <f aca="false">IF('Carga Vigilador'!E273="","",'Carga Vigilador'!E273)</f>
        <v/>
      </c>
      <c r="F273" s="13" t="str">
        <f aca="false">IF('Carga Vigilador'!F273="","",'Carga Vigilador'!F273)</f>
        <v/>
      </c>
      <c r="G273" s="13" t="str">
        <f aca="false">IF('Carga Vigilador'!G273="","",'Carga Vigilador'!G273)</f>
        <v/>
      </c>
      <c r="H273" s="14"/>
      <c r="I273" s="15"/>
      <c r="J273" s="14"/>
      <c r="K273" s="15"/>
      <c r="L273" s="16"/>
      <c r="M273" s="17"/>
      <c r="N273" s="18" t="str">
        <f aca="false">IF(B273="","",IF(J273="Sí","Multa aplicada",IF(J273="No","Sin multa",IF(H273="Sí","Descargo enviado","Pendiente"))))</f>
        <v/>
      </c>
    </row>
    <row r="274" customFormat="false" ht="15" hidden="false" customHeight="false" outlineLevel="0" collapsed="false">
      <c r="A274" s="6" t="str">
        <f aca="false">IF('Carga Vigilador'!A274="","",'Carga Vigilador'!A274)</f>
        <v/>
      </c>
      <c r="B274" s="11" t="str">
        <f aca="false">IF('Carga Vigilador'!B274="","",'Carga Vigilador'!B274)</f>
        <v/>
      </c>
      <c r="C274" s="12" t="str">
        <f aca="false">IF('Carga Vigilador'!C274="","",'Carga Vigilador'!C274)</f>
        <v/>
      </c>
      <c r="D274" s="13" t="str">
        <f aca="false">IF('Carga Vigilador'!D274="","",'Carga Vigilador'!D274)</f>
        <v/>
      </c>
      <c r="E274" s="6" t="str">
        <f aca="false">IF('Carga Vigilador'!E274="","",'Carga Vigilador'!E274)</f>
        <v/>
      </c>
      <c r="F274" s="13" t="str">
        <f aca="false">IF('Carga Vigilador'!F274="","",'Carga Vigilador'!F274)</f>
        <v/>
      </c>
      <c r="G274" s="13" t="str">
        <f aca="false">IF('Carga Vigilador'!G274="","",'Carga Vigilador'!G274)</f>
        <v/>
      </c>
      <c r="H274" s="14"/>
      <c r="I274" s="15"/>
      <c r="J274" s="14"/>
      <c r="K274" s="15"/>
      <c r="L274" s="16"/>
      <c r="M274" s="17"/>
      <c r="N274" s="18" t="str">
        <f aca="false">IF(B274="","",IF(J274="Sí","Multa aplicada",IF(J274="No","Sin multa",IF(H274="Sí","Descargo enviado","Pendiente"))))</f>
        <v/>
      </c>
    </row>
    <row r="275" customFormat="false" ht="15" hidden="false" customHeight="false" outlineLevel="0" collapsed="false">
      <c r="A275" s="6" t="str">
        <f aca="false">IF('Carga Vigilador'!A275="","",'Carga Vigilador'!A275)</f>
        <v/>
      </c>
      <c r="B275" s="11" t="str">
        <f aca="false">IF('Carga Vigilador'!B275="","",'Carga Vigilador'!B275)</f>
        <v/>
      </c>
      <c r="C275" s="12" t="str">
        <f aca="false">IF('Carga Vigilador'!C275="","",'Carga Vigilador'!C275)</f>
        <v/>
      </c>
      <c r="D275" s="13" t="str">
        <f aca="false">IF('Carga Vigilador'!D275="","",'Carga Vigilador'!D275)</f>
        <v/>
      </c>
      <c r="E275" s="6" t="str">
        <f aca="false">IF('Carga Vigilador'!E275="","",'Carga Vigilador'!E275)</f>
        <v/>
      </c>
      <c r="F275" s="13" t="str">
        <f aca="false">IF('Carga Vigilador'!F275="","",'Carga Vigilador'!F275)</f>
        <v/>
      </c>
      <c r="G275" s="13" t="str">
        <f aca="false">IF('Carga Vigilador'!G275="","",'Carga Vigilador'!G275)</f>
        <v/>
      </c>
      <c r="H275" s="14"/>
      <c r="I275" s="15"/>
      <c r="J275" s="14"/>
      <c r="K275" s="15"/>
      <c r="L275" s="16"/>
      <c r="M275" s="17"/>
      <c r="N275" s="18" t="str">
        <f aca="false">IF(B275="","",IF(J275="Sí","Multa aplicada",IF(J275="No","Sin multa",IF(H275="Sí","Descargo enviado","Pendiente"))))</f>
        <v/>
      </c>
    </row>
    <row r="276" customFormat="false" ht="15" hidden="false" customHeight="false" outlineLevel="0" collapsed="false">
      <c r="A276" s="6" t="str">
        <f aca="false">IF('Carga Vigilador'!A276="","",'Carga Vigilador'!A276)</f>
        <v/>
      </c>
      <c r="B276" s="11" t="str">
        <f aca="false">IF('Carga Vigilador'!B276="","",'Carga Vigilador'!B276)</f>
        <v/>
      </c>
      <c r="C276" s="12" t="str">
        <f aca="false">IF('Carga Vigilador'!C276="","",'Carga Vigilador'!C276)</f>
        <v/>
      </c>
      <c r="D276" s="13" t="str">
        <f aca="false">IF('Carga Vigilador'!D276="","",'Carga Vigilador'!D276)</f>
        <v/>
      </c>
      <c r="E276" s="6" t="str">
        <f aca="false">IF('Carga Vigilador'!E276="","",'Carga Vigilador'!E276)</f>
        <v/>
      </c>
      <c r="F276" s="13" t="str">
        <f aca="false">IF('Carga Vigilador'!F276="","",'Carga Vigilador'!F276)</f>
        <v/>
      </c>
      <c r="G276" s="13" t="str">
        <f aca="false">IF('Carga Vigilador'!G276="","",'Carga Vigilador'!G276)</f>
        <v/>
      </c>
      <c r="H276" s="14"/>
      <c r="I276" s="15"/>
      <c r="J276" s="14"/>
      <c r="K276" s="15"/>
      <c r="L276" s="16"/>
      <c r="M276" s="17"/>
      <c r="N276" s="18" t="str">
        <f aca="false">IF(B276="","",IF(J276="Sí","Multa aplicada",IF(J276="No","Sin multa",IF(H276="Sí","Descargo enviado","Pendiente"))))</f>
        <v/>
      </c>
    </row>
    <row r="277" customFormat="false" ht="15" hidden="false" customHeight="false" outlineLevel="0" collapsed="false">
      <c r="A277" s="6" t="str">
        <f aca="false">IF('Carga Vigilador'!A277="","",'Carga Vigilador'!A277)</f>
        <v/>
      </c>
      <c r="B277" s="11" t="str">
        <f aca="false">IF('Carga Vigilador'!B277="","",'Carga Vigilador'!B277)</f>
        <v/>
      </c>
      <c r="C277" s="12" t="str">
        <f aca="false">IF('Carga Vigilador'!C277="","",'Carga Vigilador'!C277)</f>
        <v/>
      </c>
      <c r="D277" s="13" t="str">
        <f aca="false">IF('Carga Vigilador'!D277="","",'Carga Vigilador'!D277)</f>
        <v/>
      </c>
      <c r="E277" s="6" t="str">
        <f aca="false">IF('Carga Vigilador'!E277="","",'Carga Vigilador'!E277)</f>
        <v/>
      </c>
      <c r="F277" s="13" t="str">
        <f aca="false">IF('Carga Vigilador'!F277="","",'Carga Vigilador'!F277)</f>
        <v/>
      </c>
      <c r="G277" s="13" t="str">
        <f aca="false">IF('Carga Vigilador'!G277="","",'Carga Vigilador'!G277)</f>
        <v/>
      </c>
      <c r="H277" s="14"/>
      <c r="I277" s="15"/>
      <c r="J277" s="14"/>
      <c r="K277" s="15"/>
      <c r="L277" s="16"/>
      <c r="M277" s="17"/>
      <c r="N277" s="18" t="str">
        <f aca="false">IF(B277="","",IF(J277="Sí","Multa aplicada",IF(J277="No","Sin multa",IF(H277="Sí","Descargo enviado","Pendiente"))))</f>
        <v/>
      </c>
    </row>
    <row r="278" customFormat="false" ht="15" hidden="false" customHeight="false" outlineLevel="0" collapsed="false">
      <c r="A278" s="6" t="str">
        <f aca="false">IF('Carga Vigilador'!A278="","",'Carga Vigilador'!A278)</f>
        <v/>
      </c>
      <c r="B278" s="11" t="str">
        <f aca="false">IF('Carga Vigilador'!B278="","",'Carga Vigilador'!B278)</f>
        <v/>
      </c>
      <c r="C278" s="12" t="str">
        <f aca="false">IF('Carga Vigilador'!C278="","",'Carga Vigilador'!C278)</f>
        <v/>
      </c>
      <c r="D278" s="13" t="str">
        <f aca="false">IF('Carga Vigilador'!D278="","",'Carga Vigilador'!D278)</f>
        <v/>
      </c>
      <c r="E278" s="6" t="str">
        <f aca="false">IF('Carga Vigilador'!E278="","",'Carga Vigilador'!E278)</f>
        <v/>
      </c>
      <c r="F278" s="13" t="str">
        <f aca="false">IF('Carga Vigilador'!F278="","",'Carga Vigilador'!F278)</f>
        <v/>
      </c>
      <c r="G278" s="13" t="str">
        <f aca="false">IF('Carga Vigilador'!G278="","",'Carga Vigilador'!G278)</f>
        <v/>
      </c>
      <c r="H278" s="14"/>
      <c r="I278" s="15"/>
      <c r="J278" s="14"/>
      <c r="K278" s="15"/>
      <c r="L278" s="16"/>
      <c r="M278" s="17"/>
      <c r="N278" s="18" t="str">
        <f aca="false">IF(B278="","",IF(J278="Sí","Multa aplicada",IF(J278="No","Sin multa",IF(H278="Sí","Descargo enviado","Pendiente"))))</f>
        <v/>
      </c>
    </row>
    <row r="279" customFormat="false" ht="15" hidden="false" customHeight="false" outlineLevel="0" collapsed="false">
      <c r="A279" s="6" t="str">
        <f aca="false">IF('Carga Vigilador'!A279="","",'Carga Vigilador'!A279)</f>
        <v/>
      </c>
      <c r="B279" s="11" t="str">
        <f aca="false">IF('Carga Vigilador'!B279="","",'Carga Vigilador'!B279)</f>
        <v/>
      </c>
      <c r="C279" s="12" t="str">
        <f aca="false">IF('Carga Vigilador'!C279="","",'Carga Vigilador'!C279)</f>
        <v/>
      </c>
      <c r="D279" s="13" t="str">
        <f aca="false">IF('Carga Vigilador'!D279="","",'Carga Vigilador'!D279)</f>
        <v/>
      </c>
      <c r="E279" s="6" t="str">
        <f aca="false">IF('Carga Vigilador'!E279="","",'Carga Vigilador'!E279)</f>
        <v/>
      </c>
      <c r="F279" s="13" t="str">
        <f aca="false">IF('Carga Vigilador'!F279="","",'Carga Vigilador'!F279)</f>
        <v/>
      </c>
      <c r="G279" s="13" t="str">
        <f aca="false">IF('Carga Vigilador'!G279="","",'Carga Vigilador'!G279)</f>
        <v/>
      </c>
      <c r="H279" s="14"/>
      <c r="I279" s="15"/>
      <c r="J279" s="14"/>
      <c r="K279" s="15"/>
      <c r="L279" s="16"/>
      <c r="M279" s="17"/>
      <c r="N279" s="18" t="str">
        <f aca="false">IF(B279="","",IF(J279="Sí","Multa aplicada",IF(J279="No","Sin multa",IF(H279="Sí","Descargo enviado","Pendiente"))))</f>
        <v/>
      </c>
    </row>
    <row r="280" customFormat="false" ht="15" hidden="false" customHeight="false" outlineLevel="0" collapsed="false">
      <c r="A280" s="6" t="str">
        <f aca="false">IF('Carga Vigilador'!A280="","",'Carga Vigilador'!A280)</f>
        <v/>
      </c>
      <c r="B280" s="11" t="str">
        <f aca="false">IF('Carga Vigilador'!B280="","",'Carga Vigilador'!B280)</f>
        <v/>
      </c>
      <c r="C280" s="12" t="str">
        <f aca="false">IF('Carga Vigilador'!C280="","",'Carga Vigilador'!C280)</f>
        <v/>
      </c>
      <c r="D280" s="13" t="str">
        <f aca="false">IF('Carga Vigilador'!D280="","",'Carga Vigilador'!D280)</f>
        <v/>
      </c>
      <c r="E280" s="6" t="str">
        <f aca="false">IF('Carga Vigilador'!E280="","",'Carga Vigilador'!E280)</f>
        <v/>
      </c>
      <c r="F280" s="13" t="str">
        <f aca="false">IF('Carga Vigilador'!F280="","",'Carga Vigilador'!F280)</f>
        <v/>
      </c>
      <c r="G280" s="13" t="str">
        <f aca="false">IF('Carga Vigilador'!G280="","",'Carga Vigilador'!G280)</f>
        <v/>
      </c>
      <c r="H280" s="14"/>
      <c r="I280" s="15"/>
      <c r="J280" s="14"/>
      <c r="K280" s="15"/>
      <c r="L280" s="16"/>
      <c r="M280" s="17"/>
      <c r="N280" s="18" t="str">
        <f aca="false">IF(B280="","",IF(J280="Sí","Multa aplicada",IF(J280="No","Sin multa",IF(H280="Sí","Descargo enviado","Pendiente"))))</f>
        <v/>
      </c>
    </row>
    <row r="281" customFormat="false" ht="15" hidden="false" customHeight="false" outlineLevel="0" collapsed="false">
      <c r="A281" s="6" t="str">
        <f aca="false">IF('Carga Vigilador'!A281="","",'Carga Vigilador'!A281)</f>
        <v/>
      </c>
      <c r="B281" s="11" t="str">
        <f aca="false">IF('Carga Vigilador'!B281="","",'Carga Vigilador'!B281)</f>
        <v/>
      </c>
      <c r="C281" s="12" t="str">
        <f aca="false">IF('Carga Vigilador'!C281="","",'Carga Vigilador'!C281)</f>
        <v/>
      </c>
      <c r="D281" s="13" t="str">
        <f aca="false">IF('Carga Vigilador'!D281="","",'Carga Vigilador'!D281)</f>
        <v/>
      </c>
      <c r="E281" s="6" t="str">
        <f aca="false">IF('Carga Vigilador'!E281="","",'Carga Vigilador'!E281)</f>
        <v/>
      </c>
      <c r="F281" s="13" t="str">
        <f aca="false">IF('Carga Vigilador'!F281="","",'Carga Vigilador'!F281)</f>
        <v/>
      </c>
      <c r="G281" s="13" t="str">
        <f aca="false">IF('Carga Vigilador'!G281="","",'Carga Vigilador'!G281)</f>
        <v/>
      </c>
      <c r="H281" s="14"/>
      <c r="I281" s="15"/>
      <c r="J281" s="14"/>
      <c r="K281" s="15"/>
      <c r="L281" s="16"/>
      <c r="M281" s="17"/>
      <c r="N281" s="18" t="str">
        <f aca="false">IF(B281="","",IF(J281="Sí","Multa aplicada",IF(J281="No","Sin multa",IF(H281="Sí","Descargo enviado","Pendiente"))))</f>
        <v/>
      </c>
    </row>
    <row r="282" customFormat="false" ht="15" hidden="false" customHeight="false" outlineLevel="0" collapsed="false">
      <c r="A282" s="6" t="str">
        <f aca="false">IF('Carga Vigilador'!A282="","",'Carga Vigilador'!A282)</f>
        <v/>
      </c>
      <c r="B282" s="11" t="str">
        <f aca="false">IF('Carga Vigilador'!B282="","",'Carga Vigilador'!B282)</f>
        <v/>
      </c>
      <c r="C282" s="12" t="str">
        <f aca="false">IF('Carga Vigilador'!C282="","",'Carga Vigilador'!C282)</f>
        <v/>
      </c>
      <c r="D282" s="13" t="str">
        <f aca="false">IF('Carga Vigilador'!D282="","",'Carga Vigilador'!D282)</f>
        <v/>
      </c>
      <c r="E282" s="6" t="str">
        <f aca="false">IF('Carga Vigilador'!E282="","",'Carga Vigilador'!E282)</f>
        <v/>
      </c>
      <c r="F282" s="13" t="str">
        <f aca="false">IF('Carga Vigilador'!F282="","",'Carga Vigilador'!F282)</f>
        <v/>
      </c>
      <c r="G282" s="13" t="str">
        <f aca="false">IF('Carga Vigilador'!G282="","",'Carga Vigilador'!G282)</f>
        <v/>
      </c>
      <c r="H282" s="14"/>
      <c r="I282" s="15"/>
      <c r="J282" s="14"/>
      <c r="K282" s="15"/>
      <c r="L282" s="16"/>
      <c r="M282" s="17"/>
      <c r="N282" s="18" t="str">
        <f aca="false">IF(B282="","",IF(J282="Sí","Multa aplicada",IF(J282="No","Sin multa",IF(H282="Sí","Descargo enviado","Pendiente"))))</f>
        <v/>
      </c>
    </row>
    <row r="283" customFormat="false" ht="15" hidden="false" customHeight="false" outlineLevel="0" collapsed="false">
      <c r="A283" s="6" t="str">
        <f aca="false">IF('Carga Vigilador'!A283="","",'Carga Vigilador'!A283)</f>
        <v/>
      </c>
      <c r="B283" s="11" t="str">
        <f aca="false">IF('Carga Vigilador'!B283="","",'Carga Vigilador'!B283)</f>
        <v/>
      </c>
      <c r="C283" s="12" t="str">
        <f aca="false">IF('Carga Vigilador'!C283="","",'Carga Vigilador'!C283)</f>
        <v/>
      </c>
      <c r="D283" s="13" t="str">
        <f aca="false">IF('Carga Vigilador'!D283="","",'Carga Vigilador'!D283)</f>
        <v/>
      </c>
      <c r="E283" s="6" t="str">
        <f aca="false">IF('Carga Vigilador'!E283="","",'Carga Vigilador'!E283)</f>
        <v/>
      </c>
      <c r="F283" s="13" t="str">
        <f aca="false">IF('Carga Vigilador'!F283="","",'Carga Vigilador'!F283)</f>
        <v/>
      </c>
      <c r="G283" s="13" t="str">
        <f aca="false">IF('Carga Vigilador'!G283="","",'Carga Vigilador'!G283)</f>
        <v/>
      </c>
      <c r="H283" s="14"/>
      <c r="I283" s="15"/>
      <c r="J283" s="14"/>
      <c r="K283" s="15"/>
      <c r="L283" s="16"/>
      <c r="M283" s="17"/>
      <c r="N283" s="18" t="str">
        <f aca="false">IF(B283="","",IF(J283="Sí","Multa aplicada",IF(J283="No","Sin multa",IF(H283="Sí","Descargo enviado","Pendiente"))))</f>
        <v/>
      </c>
    </row>
    <row r="284" customFormat="false" ht="15" hidden="false" customHeight="false" outlineLevel="0" collapsed="false">
      <c r="A284" s="6" t="str">
        <f aca="false">IF('Carga Vigilador'!A284="","",'Carga Vigilador'!A284)</f>
        <v/>
      </c>
      <c r="B284" s="11" t="str">
        <f aca="false">IF('Carga Vigilador'!B284="","",'Carga Vigilador'!B284)</f>
        <v/>
      </c>
      <c r="C284" s="12" t="str">
        <f aca="false">IF('Carga Vigilador'!C284="","",'Carga Vigilador'!C284)</f>
        <v/>
      </c>
      <c r="D284" s="13" t="str">
        <f aca="false">IF('Carga Vigilador'!D284="","",'Carga Vigilador'!D284)</f>
        <v/>
      </c>
      <c r="E284" s="6" t="str">
        <f aca="false">IF('Carga Vigilador'!E284="","",'Carga Vigilador'!E284)</f>
        <v/>
      </c>
      <c r="F284" s="13" t="str">
        <f aca="false">IF('Carga Vigilador'!F284="","",'Carga Vigilador'!F284)</f>
        <v/>
      </c>
      <c r="G284" s="13" t="str">
        <f aca="false">IF('Carga Vigilador'!G284="","",'Carga Vigilador'!G284)</f>
        <v/>
      </c>
      <c r="H284" s="14"/>
      <c r="I284" s="15"/>
      <c r="J284" s="14"/>
      <c r="K284" s="15"/>
      <c r="L284" s="16"/>
      <c r="M284" s="17"/>
      <c r="N284" s="18" t="str">
        <f aca="false">IF(B284="","",IF(J284="Sí","Multa aplicada",IF(J284="No","Sin multa",IF(H284="Sí","Descargo enviado","Pendiente"))))</f>
        <v/>
      </c>
    </row>
    <row r="285" customFormat="false" ht="15" hidden="false" customHeight="false" outlineLevel="0" collapsed="false">
      <c r="A285" s="6" t="str">
        <f aca="false">IF('Carga Vigilador'!A285="","",'Carga Vigilador'!A285)</f>
        <v/>
      </c>
      <c r="B285" s="11" t="str">
        <f aca="false">IF('Carga Vigilador'!B285="","",'Carga Vigilador'!B285)</f>
        <v/>
      </c>
      <c r="C285" s="12" t="str">
        <f aca="false">IF('Carga Vigilador'!C285="","",'Carga Vigilador'!C285)</f>
        <v/>
      </c>
      <c r="D285" s="13" t="str">
        <f aca="false">IF('Carga Vigilador'!D285="","",'Carga Vigilador'!D285)</f>
        <v/>
      </c>
      <c r="E285" s="6" t="str">
        <f aca="false">IF('Carga Vigilador'!E285="","",'Carga Vigilador'!E285)</f>
        <v/>
      </c>
      <c r="F285" s="13" t="str">
        <f aca="false">IF('Carga Vigilador'!F285="","",'Carga Vigilador'!F285)</f>
        <v/>
      </c>
      <c r="G285" s="13" t="str">
        <f aca="false">IF('Carga Vigilador'!G285="","",'Carga Vigilador'!G285)</f>
        <v/>
      </c>
      <c r="H285" s="14"/>
      <c r="I285" s="15"/>
      <c r="J285" s="14"/>
      <c r="K285" s="15"/>
      <c r="L285" s="16"/>
      <c r="M285" s="17"/>
      <c r="N285" s="18" t="str">
        <f aca="false">IF(B285="","",IF(J285="Sí","Multa aplicada",IF(J285="No","Sin multa",IF(H285="Sí","Descargo enviado","Pendiente"))))</f>
        <v/>
      </c>
    </row>
    <row r="286" customFormat="false" ht="15" hidden="false" customHeight="false" outlineLevel="0" collapsed="false">
      <c r="A286" s="6" t="str">
        <f aca="false">IF('Carga Vigilador'!A286="","",'Carga Vigilador'!A286)</f>
        <v/>
      </c>
      <c r="B286" s="11" t="str">
        <f aca="false">IF('Carga Vigilador'!B286="","",'Carga Vigilador'!B286)</f>
        <v/>
      </c>
      <c r="C286" s="12" t="str">
        <f aca="false">IF('Carga Vigilador'!C286="","",'Carga Vigilador'!C286)</f>
        <v/>
      </c>
      <c r="D286" s="13" t="str">
        <f aca="false">IF('Carga Vigilador'!D286="","",'Carga Vigilador'!D286)</f>
        <v/>
      </c>
      <c r="E286" s="6" t="str">
        <f aca="false">IF('Carga Vigilador'!E286="","",'Carga Vigilador'!E286)</f>
        <v/>
      </c>
      <c r="F286" s="13" t="str">
        <f aca="false">IF('Carga Vigilador'!F286="","",'Carga Vigilador'!F286)</f>
        <v/>
      </c>
      <c r="G286" s="13" t="str">
        <f aca="false">IF('Carga Vigilador'!G286="","",'Carga Vigilador'!G286)</f>
        <v/>
      </c>
      <c r="H286" s="14"/>
      <c r="I286" s="15"/>
      <c r="J286" s="14"/>
      <c r="K286" s="15"/>
      <c r="L286" s="16"/>
      <c r="M286" s="17"/>
      <c r="N286" s="18" t="str">
        <f aca="false">IF(B286="","",IF(J286="Sí","Multa aplicada",IF(J286="No","Sin multa",IF(H286="Sí","Descargo enviado","Pendiente"))))</f>
        <v/>
      </c>
    </row>
    <row r="287" customFormat="false" ht="15" hidden="false" customHeight="false" outlineLevel="0" collapsed="false">
      <c r="A287" s="6" t="str">
        <f aca="false">IF('Carga Vigilador'!A287="","",'Carga Vigilador'!A287)</f>
        <v/>
      </c>
      <c r="B287" s="11" t="str">
        <f aca="false">IF('Carga Vigilador'!B287="","",'Carga Vigilador'!B287)</f>
        <v/>
      </c>
      <c r="C287" s="12" t="str">
        <f aca="false">IF('Carga Vigilador'!C287="","",'Carga Vigilador'!C287)</f>
        <v/>
      </c>
      <c r="D287" s="13" t="str">
        <f aca="false">IF('Carga Vigilador'!D287="","",'Carga Vigilador'!D287)</f>
        <v/>
      </c>
      <c r="E287" s="6" t="str">
        <f aca="false">IF('Carga Vigilador'!E287="","",'Carga Vigilador'!E287)</f>
        <v/>
      </c>
      <c r="F287" s="13" t="str">
        <f aca="false">IF('Carga Vigilador'!F287="","",'Carga Vigilador'!F287)</f>
        <v/>
      </c>
      <c r="G287" s="13" t="str">
        <f aca="false">IF('Carga Vigilador'!G287="","",'Carga Vigilador'!G287)</f>
        <v/>
      </c>
      <c r="H287" s="14"/>
      <c r="I287" s="15"/>
      <c r="J287" s="14"/>
      <c r="K287" s="15"/>
      <c r="L287" s="16"/>
      <c r="M287" s="17"/>
      <c r="N287" s="18" t="str">
        <f aca="false">IF(B287="","",IF(J287="Sí","Multa aplicada",IF(J287="No","Sin multa",IF(H287="Sí","Descargo enviado","Pendiente"))))</f>
        <v/>
      </c>
    </row>
    <row r="288" customFormat="false" ht="15" hidden="false" customHeight="false" outlineLevel="0" collapsed="false">
      <c r="A288" s="6" t="str">
        <f aca="false">IF('Carga Vigilador'!A288="","",'Carga Vigilador'!A288)</f>
        <v/>
      </c>
      <c r="B288" s="11" t="str">
        <f aca="false">IF('Carga Vigilador'!B288="","",'Carga Vigilador'!B288)</f>
        <v/>
      </c>
      <c r="C288" s="12" t="str">
        <f aca="false">IF('Carga Vigilador'!C288="","",'Carga Vigilador'!C288)</f>
        <v/>
      </c>
      <c r="D288" s="13" t="str">
        <f aca="false">IF('Carga Vigilador'!D288="","",'Carga Vigilador'!D288)</f>
        <v/>
      </c>
      <c r="E288" s="6" t="str">
        <f aca="false">IF('Carga Vigilador'!E288="","",'Carga Vigilador'!E288)</f>
        <v/>
      </c>
      <c r="F288" s="13" t="str">
        <f aca="false">IF('Carga Vigilador'!F288="","",'Carga Vigilador'!F288)</f>
        <v/>
      </c>
      <c r="G288" s="13" t="str">
        <f aca="false">IF('Carga Vigilador'!G288="","",'Carga Vigilador'!G288)</f>
        <v/>
      </c>
      <c r="H288" s="14"/>
      <c r="I288" s="15"/>
      <c r="J288" s="14"/>
      <c r="K288" s="15"/>
      <c r="L288" s="16"/>
      <c r="M288" s="17"/>
      <c r="N288" s="18" t="str">
        <f aca="false">IF(B288="","",IF(J288="Sí","Multa aplicada",IF(J288="No","Sin multa",IF(H288="Sí","Descargo enviado","Pendiente"))))</f>
        <v/>
      </c>
    </row>
    <row r="289" customFormat="false" ht="15" hidden="false" customHeight="false" outlineLevel="0" collapsed="false">
      <c r="A289" s="6" t="str">
        <f aca="false">IF('Carga Vigilador'!A289="","",'Carga Vigilador'!A289)</f>
        <v/>
      </c>
      <c r="B289" s="11" t="str">
        <f aca="false">IF('Carga Vigilador'!B289="","",'Carga Vigilador'!B289)</f>
        <v/>
      </c>
      <c r="C289" s="12" t="str">
        <f aca="false">IF('Carga Vigilador'!C289="","",'Carga Vigilador'!C289)</f>
        <v/>
      </c>
      <c r="D289" s="13" t="str">
        <f aca="false">IF('Carga Vigilador'!D289="","",'Carga Vigilador'!D289)</f>
        <v/>
      </c>
      <c r="E289" s="6" t="str">
        <f aca="false">IF('Carga Vigilador'!E289="","",'Carga Vigilador'!E289)</f>
        <v/>
      </c>
      <c r="F289" s="13" t="str">
        <f aca="false">IF('Carga Vigilador'!F289="","",'Carga Vigilador'!F289)</f>
        <v/>
      </c>
      <c r="G289" s="13" t="str">
        <f aca="false">IF('Carga Vigilador'!G289="","",'Carga Vigilador'!G289)</f>
        <v/>
      </c>
      <c r="H289" s="14"/>
      <c r="I289" s="15"/>
      <c r="J289" s="14"/>
      <c r="K289" s="15"/>
      <c r="L289" s="16"/>
      <c r="M289" s="17"/>
      <c r="N289" s="18" t="str">
        <f aca="false">IF(B289="","",IF(J289="Sí","Multa aplicada",IF(J289="No","Sin multa",IF(H289="Sí","Descargo enviado","Pendiente"))))</f>
        <v/>
      </c>
    </row>
    <row r="290" customFormat="false" ht="15" hidden="false" customHeight="false" outlineLevel="0" collapsed="false">
      <c r="A290" s="6" t="str">
        <f aca="false">IF('Carga Vigilador'!A290="","",'Carga Vigilador'!A290)</f>
        <v/>
      </c>
      <c r="B290" s="11" t="str">
        <f aca="false">IF('Carga Vigilador'!B290="","",'Carga Vigilador'!B290)</f>
        <v/>
      </c>
      <c r="C290" s="12" t="str">
        <f aca="false">IF('Carga Vigilador'!C290="","",'Carga Vigilador'!C290)</f>
        <v/>
      </c>
      <c r="D290" s="13" t="str">
        <f aca="false">IF('Carga Vigilador'!D290="","",'Carga Vigilador'!D290)</f>
        <v/>
      </c>
      <c r="E290" s="6" t="str">
        <f aca="false">IF('Carga Vigilador'!E290="","",'Carga Vigilador'!E290)</f>
        <v/>
      </c>
      <c r="F290" s="13" t="str">
        <f aca="false">IF('Carga Vigilador'!F290="","",'Carga Vigilador'!F290)</f>
        <v/>
      </c>
      <c r="G290" s="13" t="str">
        <f aca="false">IF('Carga Vigilador'!G290="","",'Carga Vigilador'!G290)</f>
        <v/>
      </c>
      <c r="H290" s="14"/>
      <c r="I290" s="15"/>
      <c r="J290" s="14"/>
      <c r="K290" s="15"/>
      <c r="L290" s="16"/>
      <c r="M290" s="17"/>
      <c r="N290" s="18" t="str">
        <f aca="false">IF(B290="","",IF(J290="Sí","Multa aplicada",IF(J290="No","Sin multa",IF(H290="Sí","Descargo enviado","Pendiente"))))</f>
        <v/>
      </c>
    </row>
    <row r="291" customFormat="false" ht="15" hidden="false" customHeight="false" outlineLevel="0" collapsed="false">
      <c r="A291" s="6" t="str">
        <f aca="false">IF('Carga Vigilador'!A291="","",'Carga Vigilador'!A291)</f>
        <v/>
      </c>
      <c r="B291" s="11" t="str">
        <f aca="false">IF('Carga Vigilador'!B291="","",'Carga Vigilador'!B291)</f>
        <v/>
      </c>
      <c r="C291" s="12" t="str">
        <f aca="false">IF('Carga Vigilador'!C291="","",'Carga Vigilador'!C291)</f>
        <v/>
      </c>
      <c r="D291" s="13" t="str">
        <f aca="false">IF('Carga Vigilador'!D291="","",'Carga Vigilador'!D291)</f>
        <v/>
      </c>
      <c r="E291" s="6" t="str">
        <f aca="false">IF('Carga Vigilador'!E291="","",'Carga Vigilador'!E291)</f>
        <v/>
      </c>
      <c r="F291" s="13" t="str">
        <f aca="false">IF('Carga Vigilador'!F291="","",'Carga Vigilador'!F291)</f>
        <v/>
      </c>
      <c r="G291" s="13" t="str">
        <f aca="false">IF('Carga Vigilador'!G291="","",'Carga Vigilador'!G291)</f>
        <v/>
      </c>
      <c r="H291" s="14"/>
      <c r="I291" s="15"/>
      <c r="J291" s="14"/>
      <c r="K291" s="15"/>
      <c r="L291" s="16"/>
      <c r="M291" s="17"/>
      <c r="N291" s="18" t="str">
        <f aca="false">IF(B291="","",IF(J291="Sí","Multa aplicada",IF(J291="No","Sin multa",IF(H291="Sí","Descargo enviado","Pendiente"))))</f>
        <v/>
      </c>
    </row>
    <row r="292" customFormat="false" ht="15" hidden="false" customHeight="false" outlineLevel="0" collapsed="false">
      <c r="A292" s="6" t="str">
        <f aca="false">IF('Carga Vigilador'!A292="","",'Carga Vigilador'!A292)</f>
        <v/>
      </c>
      <c r="B292" s="11" t="str">
        <f aca="false">IF('Carga Vigilador'!B292="","",'Carga Vigilador'!B292)</f>
        <v/>
      </c>
      <c r="C292" s="12" t="str">
        <f aca="false">IF('Carga Vigilador'!C292="","",'Carga Vigilador'!C292)</f>
        <v/>
      </c>
      <c r="D292" s="13" t="str">
        <f aca="false">IF('Carga Vigilador'!D292="","",'Carga Vigilador'!D292)</f>
        <v/>
      </c>
      <c r="E292" s="6" t="str">
        <f aca="false">IF('Carga Vigilador'!E292="","",'Carga Vigilador'!E292)</f>
        <v/>
      </c>
      <c r="F292" s="13" t="str">
        <f aca="false">IF('Carga Vigilador'!F292="","",'Carga Vigilador'!F292)</f>
        <v/>
      </c>
      <c r="G292" s="13" t="str">
        <f aca="false">IF('Carga Vigilador'!G292="","",'Carga Vigilador'!G292)</f>
        <v/>
      </c>
      <c r="H292" s="14"/>
      <c r="I292" s="15"/>
      <c r="J292" s="14"/>
      <c r="K292" s="15"/>
      <c r="L292" s="16"/>
      <c r="M292" s="17"/>
      <c r="N292" s="18" t="str">
        <f aca="false">IF(B292="","",IF(J292="Sí","Multa aplicada",IF(J292="No","Sin multa",IF(H292="Sí","Descargo enviado","Pendiente"))))</f>
        <v/>
      </c>
    </row>
    <row r="293" customFormat="false" ht="15" hidden="false" customHeight="false" outlineLevel="0" collapsed="false">
      <c r="A293" s="6" t="str">
        <f aca="false">IF('Carga Vigilador'!A293="","",'Carga Vigilador'!A293)</f>
        <v/>
      </c>
      <c r="B293" s="11" t="str">
        <f aca="false">IF('Carga Vigilador'!B293="","",'Carga Vigilador'!B293)</f>
        <v/>
      </c>
      <c r="C293" s="12" t="str">
        <f aca="false">IF('Carga Vigilador'!C293="","",'Carga Vigilador'!C293)</f>
        <v/>
      </c>
      <c r="D293" s="13" t="str">
        <f aca="false">IF('Carga Vigilador'!D293="","",'Carga Vigilador'!D293)</f>
        <v/>
      </c>
      <c r="E293" s="6" t="str">
        <f aca="false">IF('Carga Vigilador'!E293="","",'Carga Vigilador'!E293)</f>
        <v/>
      </c>
      <c r="F293" s="13" t="str">
        <f aca="false">IF('Carga Vigilador'!F293="","",'Carga Vigilador'!F293)</f>
        <v/>
      </c>
      <c r="G293" s="13" t="str">
        <f aca="false">IF('Carga Vigilador'!G293="","",'Carga Vigilador'!G293)</f>
        <v/>
      </c>
      <c r="H293" s="14"/>
      <c r="I293" s="15"/>
      <c r="J293" s="14"/>
      <c r="K293" s="15"/>
      <c r="L293" s="16"/>
      <c r="M293" s="17"/>
      <c r="N293" s="18" t="str">
        <f aca="false">IF(B293="","",IF(J293="Sí","Multa aplicada",IF(J293="No","Sin multa",IF(H293="Sí","Descargo enviado","Pendiente"))))</f>
        <v/>
      </c>
    </row>
    <row r="294" customFormat="false" ht="15" hidden="false" customHeight="false" outlineLevel="0" collapsed="false">
      <c r="A294" s="6" t="str">
        <f aca="false">IF('Carga Vigilador'!A294="","",'Carga Vigilador'!A294)</f>
        <v/>
      </c>
      <c r="B294" s="11" t="str">
        <f aca="false">IF('Carga Vigilador'!B294="","",'Carga Vigilador'!B294)</f>
        <v/>
      </c>
      <c r="C294" s="12" t="str">
        <f aca="false">IF('Carga Vigilador'!C294="","",'Carga Vigilador'!C294)</f>
        <v/>
      </c>
      <c r="D294" s="13" t="str">
        <f aca="false">IF('Carga Vigilador'!D294="","",'Carga Vigilador'!D294)</f>
        <v/>
      </c>
      <c r="E294" s="6" t="str">
        <f aca="false">IF('Carga Vigilador'!E294="","",'Carga Vigilador'!E294)</f>
        <v/>
      </c>
      <c r="F294" s="13" t="str">
        <f aca="false">IF('Carga Vigilador'!F294="","",'Carga Vigilador'!F294)</f>
        <v/>
      </c>
      <c r="G294" s="13" t="str">
        <f aca="false">IF('Carga Vigilador'!G294="","",'Carga Vigilador'!G294)</f>
        <v/>
      </c>
      <c r="H294" s="14"/>
      <c r="I294" s="15"/>
      <c r="J294" s="14"/>
      <c r="K294" s="15"/>
      <c r="L294" s="16"/>
      <c r="M294" s="17"/>
      <c r="N294" s="18" t="str">
        <f aca="false">IF(B294="","",IF(J294="Sí","Multa aplicada",IF(J294="No","Sin multa",IF(H294="Sí","Descargo enviado","Pendiente"))))</f>
        <v/>
      </c>
    </row>
    <row r="295" customFormat="false" ht="15" hidden="false" customHeight="false" outlineLevel="0" collapsed="false">
      <c r="A295" s="6" t="str">
        <f aca="false">IF('Carga Vigilador'!A295="","",'Carga Vigilador'!A295)</f>
        <v/>
      </c>
      <c r="B295" s="11" t="str">
        <f aca="false">IF('Carga Vigilador'!B295="","",'Carga Vigilador'!B295)</f>
        <v/>
      </c>
      <c r="C295" s="12" t="str">
        <f aca="false">IF('Carga Vigilador'!C295="","",'Carga Vigilador'!C295)</f>
        <v/>
      </c>
      <c r="D295" s="13" t="str">
        <f aca="false">IF('Carga Vigilador'!D295="","",'Carga Vigilador'!D295)</f>
        <v/>
      </c>
      <c r="E295" s="6" t="str">
        <f aca="false">IF('Carga Vigilador'!E295="","",'Carga Vigilador'!E295)</f>
        <v/>
      </c>
      <c r="F295" s="13" t="str">
        <f aca="false">IF('Carga Vigilador'!F295="","",'Carga Vigilador'!F295)</f>
        <v/>
      </c>
      <c r="G295" s="13" t="str">
        <f aca="false">IF('Carga Vigilador'!G295="","",'Carga Vigilador'!G295)</f>
        <v/>
      </c>
      <c r="H295" s="14"/>
      <c r="I295" s="15"/>
      <c r="J295" s="14"/>
      <c r="K295" s="15"/>
      <c r="L295" s="16"/>
      <c r="M295" s="17"/>
      <c r="N295" s="18" t="str">
        <f aca="false">IF(B295="","",IF(J295="Sí","Multa aplicada",IF(J295="No","Sin multa",IF(H295="Sí","Descargo enviado","Pendiente"))))</f>
        <v/>
      </c>
    </row>
    <row r="296" customFormat="false" ht="15" hidden="false" customHeight="false" outlineLevel="0" collapsed="false">
      <c r="A296" s="6" t="str">
        <f aca="false">IF('Carga Vigilador'!A296="","",'Carga Vigilador'!A296)</f>
        <v/>
      </c>
      <c r="B296" s="11" t="str">
        <f aca="false">IF('Carga Vigilador'!B296="","",'Carga Vigilador'!B296)</f>
        <v/>
      </c>
      <c r="C296" s="12" t="str">
        <f aca="false">IF('Carga Vigilador'!C296="","",'Carga Vigilador'!C296)</f>
        <v/>
      </c>
      <c r="D296" s="13" t="str">
        <f aca="false">IF('Carga Vigilador'!D296="","",'Carga Vigilador'!D296)</f>
        <v/>
      </c>
      <c r="E296" s="6" t="str">
        <f aca="false">IF('Carga Vigilador'!E296="","",'Carga Vigilador'!E296)</f>
        <v/>
      </c>
      <c r="F296" s="13" t="str">
        <f aca="false">IF('Carga Vigilador'!F296="","",'Carga Vigilador'!F296)</f>
        <v/>
      </c>
      <c r="G296" s="13" t="str">
        <f aca="false">IF('Carga Vigilador'!G296="","",'Carga Vigilador'!G296)</f>
        <v/>
      </c>
      <c r="H296" s="14"/>
      <c r="I296" s="15"/>
      <c r="J296" s="14"/>
      <c r="K296" s="15"/>
      <c r="L296" s="16"/>
      <c r="M296" s="17"/>
      <c r="N296" s="18" t="str">
        <f aca="false">IF(B296="","",IF(J296="Sí","Multa aplicada",IF(J296="No","Sin multa",IF(H296="Sí","Descargo enviado","Pendiente"))))</f>
        <v/>
      </c>
    </row>
    <row r="297" customFormat="false" ht="15" hidden="false" customHeight="false" outlineLevel="0" collapsed="false">
      <c r="A297" s="6" t="str">
        <f aca="false">IF('Carga Vigilador'!A297="","",'Carga Vigilador'!A297)</f>
        <v/>
      </c>
      <c r="B297" s="11" t="str">
        <f aca="false">IF('Carga Vigilador'!B297="","",'Carga Vigilador'!B297)</f>
        <v/>
      </c>
      <c r="C297" s="12" t="str">
        <f aca="false">IF('Carga Vigilador'!C297="","",'Carga Vigilador'!C297)</f>
        <v/>
      </c>
      <c r="D297" s="13" t="str">
        <f aca="false">IF('Carga Vigilador'!D297="","",'Carga Vigilador'!D297)</f>
        <v/>
      </c>
      <c r="E297" s="6" t="str">
        <f aca="false">IF('Carga Vigilador'!E297="","",'Carga Vigilador'!E297)</f>
        <v/>
      </c>
      <c r="F297" s="13" t="str">
        <f aca="false">IF('Carga Vigilador'!F297="","",'Carga Vigilador'!F297)</f>
        <v/>
      </c>
      <c r="G297" s="13" t="str">
        <f aca="false">IF('Carga Vigilador'!G297="","",'Carga Vigilador'!G297)</f>
        <v/>
      </c>
      <c r="H297" s="14"/>
      <c r="I297" s="15"/>
      <c r="J297" s="14"/>
      <c r="K297" s="15"/>
      <c r="L297" s="16"/>
      <c r="M297" s="17"/>
      <c r="N297" s="18" t="str">
        <f aca="false">IF(B297="","",IF(J297="Sí","Multa aplicada",IF(J297="No","Sin multa",IF(H297="Sí","Descargo enviado","Pendiente"))))</f>
        <v/>
      </c>
    </row>
    <row r="298" customFormat="false" ht="15" hidden="false" customHeight="false" outlineLevel="0" collapsed="false">
      <c r="A298" s="6" t="str">
        <f aca="false">IF('Carga Vigilador'!A298="","",'Carga Vigilador'!A298)</f>
        <v/>
      </c>
      <c r="B298" s="11" t="str">
        <f aca="false">IF('Carga Vigilador'!B298="","",'Carga Vigilador'!B298)</f>
        <v/>
      </c>
      <c r="C298" s="12" t="str">
        <f aca="false">IF('Carga Vigilador'!C298="","",'Carga Vigilador'!C298)</f>
        <v/>
      </c>
      <c r="D298" s="13" t="str">
        <f aca="false">IF('Carga Vigilador'!D298="","",'Carga Vigilador'!D298)</f>
        <v/>
      </c>
      <c r="E298" s="6" t="str">
        <f aca="false">IF('Carga Vigilador'!E298="","",'Carga Vigilador'!E298)</f>
        <v/>
      </c>
      <c r="F298" s="13" t="str">
        <f aca="false">IF('Carga Vigilador'!F298="","",'Carga Vigilador'!F298)</f>
        <v/>
      </c>
      <c r="G298" s="13" t="str">
        <f aca="false">IF('Carga Vigilador'!G298="","",'Carga Vigilador'!G298)</f>
        <v/>
      </c>
      <c r="H298" s="14"/>
      <c r="I298" s="15"/>
      <c r="J298" s="14"/>
      <c r="K298" s="15"/>
      <c r="L298" s="16"/>
      <c r="M298" s="17"/>
      <c r="N298" s="18" t="str">
        <f aca="false">IF(B298="","",IF(J298="Sí","Multa aplicada",IF(J298="No","Sin multa",IF(H298="Sí","Descargo enviado","Pendiente"))))</f>
        <v/>
      </c>
    </row>
    <row r="299" customFormat="false" ht="15" hidden="false" customHeight="false" outlineLevel="0" collapsed="false">
      <c r="A299" s="6" t="str">
        <f aca="false">IF('Carga Vigilador'!A299="","",'Carga Vigilador'!A299)</f>
        <v/>
      </c>
      <c r="B299" s="11" t="str">
        <f aca="false">IF('Carga Vigilador'!B299="","",'Carga Vigilador'!B299)</f>
        <v/>
      </c>
      <c r="C299" s="12" t="str">
        <f aca="false">IF('Carga Vigilador'!C299="","",'Carga Vigilador'!C299)</f>
        <v/>
      </c>
      <c r="D299" s="13" t="str">
        <f aca="false">IF('Carga Vigilador'!D299="","",'Carga Vigilador'!D299)</f>
        <v/>
      </c>
      <c r="E299" s="6" t="str">
        <f aca="false">IF('Carga Vigilador'!E299="","",'Carga Vigilador'!E299)</f>
        <v/>
      </c>
      <c r="F299" s="13" t="str">
        <f aca="false">IF('Carga Vigilador'!F299="","",'Carga Vigilador'!F299)</f>
        <v/>
      </c>
      <c r="G299" s="13" t="str">
        <f aca="false">IF('Carga Vigilador'!G299="","",'Carga Vigilador'!G299)</f>
        <v/>
      </c>
      <c r="H299" s="14"/>
      <c r="I299" s="15"/>
      <c r="J299" s="14"/>
      <c r="K299" s="15"/>
      <c r="L299" s="16"/>
      <c r="M299" s="17"/>
      <c r="N299" s="18" t="str">
        <f aca="false">IF(B299="","",IF(J299="Sí","Multa aplicada",IF(J299="No","Sin multa",IF(H299="Sí","Descargo enviado","Pendiente"))))</f>
        <v/>
      </c>
    </row>
    <row r="300" customFormat="false" ht="15" hidden="false" customHeight="false" outlineLevel="0" collapsed="false">
      <c r="A300" s="6" t="str">
        <f aca="false">IF('Carga Vigilador'!A300="","",'Carga Vigilador'!A300)</f>
        <v/>
      </c>
      <c r="B300" s="11" t="str">
        <f aca="false">IF('Carga Vigilador'!B300="","",'Carga Vigilador'!B300)</f>
        <v/>
      </c>
      <c r="C300" s="12" t="str">
        <f aca="false">IF('Carga Vigilador'!C300="","",'Carga Vigilador'!C300)</f>
        <v/>
      </c>
      <c r="D300" s="13" t="str">
        <f aca="false">IF('Carga Vigilador'!D300="","",'Carga Vigilador'!D300)</f>
        <v/>
      </c>
      <c r="E300" s="6" t="str">
        <f aca="false">IF('Carga Vigilador'!E300="","",'Carga Vigilador'!E300)</f>
        <v/>
      </c>
      <c r="F300" s="13" t="str">
        <f aca="false">IF('Carga Vigilador'!F300="","",'Carga Vigilador'!F300)</f>
        <v/>
      </c>
      <c r="G300" s="13" t="str">
        <f aca="false">IF('Carga Vigilador'!G300="","",'Carga Vigilador'!G300)</f>
        <v/>
      </c>
      <c r="H300" s="14"/>
      <c r="I300" s="15"/>
      <c r="J300" s="14"/>
      <c r="K300" s="15"/>
      <c r="L300" s="16"/>
      <c r="M300" s="17"/>
      <c r="N300" s="18" t="str">
        <f aca="false">IF(B300="","",IF(J300="Sí","Multa aplicada",IF(J300="No","Sin multa",IF(H300="Sí","Descargo enviado","Pendiente"))))</f>
        <v/>
      </c>
    </row>
    <row r="301" customFormat="false" ht="15" hidden="false" customHeight="false" outlineLevel="0" collapsed="false">
      <c r="A301" s="6" t="str">
        <f aca="false">IF('Carga Vigilador'!A301="","",'Carga Vigilador'!A301)</f>
        <v/>
      </c>
      <c r="B301" s="11" t="str">
        <f aca="false">IF('Carga Vigilador'!B301="","",'Carga Vigilador'!B301)</f>
        <v/>
      </c>
      <c r="C301" s="12" t="str">
        <f aca="false">IF('Carga Vigilador'!C301="","",'Carga Vigilador'!C301)</f>
        <v/>
      </c>
      <c r="D301" s="13" t="str">
        <f aca="false">IF('Carga Vigilador'!D301="","",'Carga Vigilador'!D301)</f>
        <v/>
      </c>
      <c r="E301" s="6" t="str">
        <f aca="false">IF('Carga Vigilador'!E301="","",'Carga Vigilador'!E301)</f>
        <v/>
      </c>
      <c r="F301" s="13" t="str">
        <f aca="false">IF('Carga Vigilador'!F301="","",'Carga Vigilador'!F301)</f>
        <v/>
      </c>
      <c r="G301" s="13" t="str">
        <f aca="false">IF('Carga Vigilador'!G301="","",'Carga Vigilador'!G301)</f>
        <v/>
      </c>
      <c r="H301" s="14"/>
      <c r="I301" s="15"/>
      <c r="J301" s="14"/>
      <c r="K301" s="15"/>
      <c r="L301" s="16"/>
      <c r="M301" s="17"/>
      <c r="N301" s="18" t="str">
        <f aca="false">IF(B301="","",IF(J301="Sí","Multa aplicada",IF(J301="No","Sin multa",IF(H301="Sí","Descargo enviado","Pendiente"))))</f>
        <v/>
      </c>
    </row>
    <row r="302" customFormat="false" ht="15" hidden="false" customHeight="false" outlineLevel="0" collapsed="false">
      <c r="A302" s="6" t="str">
        <f aca="false">IF('Carga Vigilador'!A302="","",'Carga Vigilador'!A302)</f>
        <v/>
      </c>
      <c r="B302" s="11" t="str">
        <f aca="false">IF('Carga Vigilador'!B302="","",'Carga Vigilador'!B302)</f>
        <v/>
      </c>
      <c r="C302" s="12" t="str">
        <f aca="false">IF('Carga Vigilador'!C302="","",'Carga Vigilador'!C302)</f>
        <v/>
      </c>
      <c r="D302" s="13" t="str">
        <f aca="false">IF('Carga Vigilador'!D302="","",'Carga Vigilador'!D302)</f>
        <v/>
      </c>
      <c r="E302" s="6" t="str">
        <f aca="false">IF('Carga Vigilador'!E302="","",'Carga Vigilador'!E302)</f>
        <v/>
      </c>
      <c r="F302" s="13" t="str">
        <f aca="false">IF('Carga Vigilador'!F302="","",'Carga Vigilador'!F302)</f>
        <v/>
      </c>
      <c r="G302" s="13" t="str">
        <f aca="false">IF('Carga Vigilador'!G302="","",'Carga Vigilador'!G302)</f>
        <v/>
      </c>
      <c r="H302" s="14"/>
      <c r="I302" s="15"/>
      <c r="J302" s="14"/>
      <c r="K302" s="15"/>
      <c r="L302" s="16"/>
      <c r="M302" s="17"/>
      <c r="N302" s="18" t="str">
        <f aca="false">IF(B302="","",IF(J302="Sí","Multa aplicada",IF(J302="No","Sin multa",IF(H302="Sí","Descargo enviado","Pendiente"))))</f>
        <v/>
      </c>
    </row>
    <row r="303" customFormat="false" ht="15" hidden="false" customHeight="false" outlineLevel="0" collapsed="false">
      <c r="A303" s="6" t="str">
        <f aca="false">IF('Carga Vigilador'!A303="","",'Carga Vigilador'!A303)</f>
        <v/>
      </c>
      <c r="B303" s="11" t="str">
        <f aca="false">IF('Carga Vigilador'!B303="","",'Carga Vigilador'!B303)</f>
        <v/>
      </c>
      <c r="C303" s="12" t="str">
        <f aca="false">IF('Carga Vigilador'!C303="","",'Carga Vigilador'!C303)</f>
        <v/>
      </c>
      <c r="D303" s="13" t="str">
        <f aca="false">IF('Carga Vigilador'!D303="","",'Carga Vigilador'!D303)</f>
        <v/>
      </c>
      <c r="E303" s="6" t="str">
        <f aca="false">IF('Carga Vigilador'!E303="","",'Carga Vigilador'!E303)</f>
        <v/>
      </c>
      <c r="F303" s="13" t="str">
        <f aca="false">IF('Carga Vigilador'!F303="","",'Carga Vigilador'!F303)</f>
        <v/>
      </c>
      <c r="G303" s="13" t="str">
        <f aca="false">IF('Carga Vigilador'!G303="","",'Carga Vigilador'!G303)</f>
        <v/>
      </c>
      <c r="H303" s="14"/>
      <c r="I303" s="15"/>
      <c r="J303" s="14"/>
      <c r="K303" s="15"/>
      <c r="L303" s="16"/>
      <c r="M303" s="17"/>
      <c r="N303" s="18" t="str">
        <f aca="false">IF(B303="","",IF(J303="Sí","Multa aplicada",IF(J303="No","Sin multa",IF(H303="Sí","Descargo enviado","Pendiente"))))</f>
        <v/>
      </c>
    </row>
    <row r="304" customFormat="false" ht="15" hidden="false" customHeight="false" outlineLevel="0" collapsed="false">
      <c r="A304" s="6" t="str">
        <f aca="false">IF('Carga Vigilador'!A304="","",'Carga Vigilador'!A304)</f>
        <v/>
      </c>
      <c r="B304" s="11" t="str">
        <f aca="false">IF('Carga Vigilador'!B304="","",'Carga Vigilador'!B304)</f>
        <v/>
      </c>
      <c r="C304" s="12" t="str">
        <f aca="false">IF('Carga Vigilador'!C304="","",'Carga Vigilador'!C304)</f>
        <v/>
      </c>
      <c r="D304" s="13" t="str">
        <f aca="false">IF('Carga Vigilador'!D304="","",'Carga Vigilador'!D304)</f>
        <v/>
      </c>
      <c r="E304" s="6" t="str">
        <f aca="false">IF('Carga Vigilador'!E304="","",'Carga Vigilador'!E304)</f>
        <v/>
      </c>
      <c r="F304" s="13" t="str">
        <f aca="false">IF('Carga Vigilador'!F304="","",'Carga Vigilador'!F304)</f>
        <v/>
      </c>
      <c r="G304" s="13" t="str">
        <f aca="false">IF('Carga Vigilador'!G304="","",'Carga Vigilador'!G304)</f>
        <v/>
      </c>
      <c r="H304" s="14"/>
      <c r="I304" s="15"/>
      <c r="J304" s="14"/>
      <c r="K304" s="15"/>
      <c r="L304" s="16"/>
      <c r="M304" s="17"/>
      <c r="N304" s="18" t="str">
        <f aca="false">IF(B304="","",IF(J304="Sí","Multa aplicada",IF(J304="No","Sin multa",IF(H304="Sí","Descargo enviado","Pendiente"))))</f>
        <v/>
      </c>
    </row>
    <row r="305" customFormat="false" ht="15" hidden="false" customHeight="false" outlineLevel="0" collapsed="false">
      <c r="A305" s="6" t="str">
        <f aca="false">IF('Carga Vigilador'!A305="","",'Carga Vigilador'!A305)</f>
        <v/>
      </c>
      <c r="B305" s="11" t="str">
        <f aca="false">IF('Carga Vigilador'!B305="","",'Carga Vigilador'!B305)</f>
        <v/>
      </c>
      <c r="C305" s="12" t="str">
        <f aca="false">IF('Carga Vigilador'!C305="","",'Carga Vigilador'!C305)</f>
        <v/>
      </c>
      <c r="D305" s="13" t="str">
        <f aca="false">IF('Carga Vigilador'!D305="","",'Carga Vigilador'!D305)</f>
        <v/>
      </c>
      <c r="E305" s="6" t="str">
        <f aca="false">IF('Carga Vigilador'!E305="","",'Carga Vigilador'!E305)</f>
        <v/>
      </c>
      <c r="F305" s="13" t="str">
        <f aca="false">IF('Carga Vigilador'!F305="","",'Carga Vigilador'!F305)</f>
        <v/>
      </c>
      <c r="G305" s="13" t="str">
        <f aca="false">IF('Carga Vigilador'!G305="","",'Carga Vigilador'!G305)</f>
        <v/>
      </c>
      <c r="H305" s="14"/>
      <c r="I305" s="15"/>
      <c r="J305" s="14"/>
      <c r="K305" s="15"/>
      <c r="L305" s="16"/>
      <c r="M305" s="17"/>
      <c r="N305" s="18" t="str">
        <f aca="false">IF(B305="","",IF(J305="Sí","Multa aplicada",IF(J305="No","Sin multa",IF(H305="Sí","Descargo enviado","Pendiente"))))</f>
        <v/>
      </c>
    </row>
    <row r="306" customFormat="false" ht="15" hidden="false" customHeight="false" outlineLevel="0" collapsed="false">
      <c r="A306" s="6" t="str">
        <f aca="false">IF('Carga Vigilador'!A306="","",'Carga Vigilador'!A306)</f>
        <v/>
      </c>
      <c r="B306" s="11" t="str">
        <f aca="false">IF('Carga Vigilador'!B306="","",'Carga Vigilador'!B306)</f>
        <v/>
      </c>
      <c r="C306" s="12" t="str">
        <f aca="false">IF('Carga Vigilador'!C306="","",'Carga Vigilador'!C306)</f>
        <v/>
      </c>
      <c r="D306" s="13" t="str">
        <f aca="false">IF('Carga Vigilador'!D306="","",'Carga Vigilador'!D306)</f>
        <v/>
      </c>
      <c r="E306" s="6" t="str">
        <f aca="false">IF('Carga Vigilador'!E306="","",'Carga Vigilador'!E306)</f>
        <v/>
      </c>
      <c r="F306" s="13" t="str">
        <f aca="false">IF('Carga Vigilador'!F306="","",'Carga Vigilador'!F306)</f>
        <v/>
      </c>
      <c r="G306" s="13" t="str">
        <f aca="false">IF('Carga Vigilador'!G306="","",'Carga Vigilador'!G306)</f>
        <v/>
      </c>
      <c r="H306" s="14"/>
      <c r="I306" s="15"/>
      <c r="J306" s="14"/>
      <c r="K306" s="15"/>
      <c r="L306" s="16"/>
      <c r="M306" s="17"/>
      <c r="N306" s="18" t="str">
        <f aca="false">IF(B306="","",IF(J306="Sí","Multa aplicada",IF(J306="No","Sin multa",IF(H306="Sí","Descargo enviado","Pendiente"))))</f>
        <v/>
      </c>
    </row>
    <row r="307" customFormat="false" ht="15" hidden="false" customHeight="false" outlineLevel="0" collapsed="false">
      <c r="A307" s="6" t="str">
        <f aca="false">IF('Carga Vigilador'!A307="","",'Carga Vigilador'!A307)</f>
        <v/>
      </c>
      <c r="B307" s="11" t="str">
        <f aca="false">IF('Carga Vigilador'!B307="","",'Carga Vigilador'!B307)</f>
        <v/>
      </c>
      <c r="C307" s="12" t="str">
        <f aca="false">IF('Carga Vigilador'!C307="","",'Carga Vigilador'!C307)</f>
        <v/>
      </c>
      <c r="D307" s="13" t="str">
        <f aca="false">IF('Carga Vigilador'!D307="","",'Carga Vigilador'!D307)</f>
        <v/>
      </c>
      <c r="E307" s="6" t="str">
        <f aca="false">IF('Carga Vigilador'!E307="","",'Carga Vigilador'!E307)</f>
        <v/>
      </c>
      <c r="F307" s="13" t="str">
        <f aca="false">IF('Carga Vigilador'!F307="","",'Carga Vigilador'!F307)</f>
        <v/>
      </c>
      <c r="G307" s="13" t="str">
        <f aca="false">IF('Carga Vigilador'!G307="","",'Carga Vigilador'!G307)</f>
        <v/>
      </c>
      <c r="H307" s="14"/>
      <c r="I307" s="15"/>
      <c r="J307" s="14"/>
      <c r="K307" s="15"/>
      <c r="L307" s="16"/>
      <c r="M307" s="17"/>
      <c r="N307" s="18" t="str">
        <f aca="false">IF(B307="","",IF(J307="Sí","Multa aplicada",IF(J307="No","Sin multa",IF(H307="Sí","Descargo enviado","Pendiente"))))</f>
        <v/>
      </c>
    </row>
    <row r="308" customFormat="false" ht="15" hidden="false" customHeight="false" outlineLevel="0" collapsed="false">
      <c r="A308" s="6" t="str">
        <f aca="false">IF('Carga Vigilador'!A308="","",'Carga Vigilador'!A308)</f>
        <v/>
      </c>
      <c r="B308" s="11" t="str">
        <f aca="false">IF('Carga Vigilador'!B308="","",'Carga Vigilador'!B308)</f>
        <v/>
      </c>
      <c r="C308" s="12" t="str">
        <f aca="false">IF('Carga Vigilador'!C308="","",'Carga Vigilador'!C308)</f>
        <v/>
      </c>
      <c r="D308" s="13" t="str">
        <f aca="false">IF('Carga Vigilador'!D308="","",'Carga Vigilador'!D308)</f>
        <v/>
      </c>
      <c r="E308" s="6" t="str">
        <f aca="false">IF('Carga Vigilador'!E308="","",'Carga Vigilador'!E308)</f>
        <v/>
      </c>
      <c r="F308" s="13" t="str">
        <f aca="false">IF('Carga Vigilador'!F308="","",'Carga Vigilador'!F308)</f>
        <v/>
      </c>
      <c r="G308" s="13" t="str">
        <f aca="false">IF('Carga Vigilador'!G308="","",'Carga Vigilador'!G308)</f>
        <v/>
      </c>
      <c r="H308" s="14"/>
      <c r="I308" s="15"/>
      <c r="J308" s="14"/>
      <c r="K308" s="15"/>
      <c r="L308" s="16"/>
      <c r="M308" s="17"/>
      <c r="N308" s="18" t="str">
        <f aca="false">IF(B308="","",IF(J308="Sí","Multa aplicada",IF(J308="No","Sin multa",IF(H308="Sí","Descargo enviado","Pendiente"))))</f>
        <v/>
      </c>
    </row>
    <row r="309" customFormat="false" ht="15" hidden="false" customHeight="false" outlineLevel="0" collapsed="false">
      <c r="A309" s="6" t="str">
        <f aca="false">IF('Carga Vigilador'!A309="","",'Carga Vigilador'!A309)</f>
        <v/>
      </c>
      <c r="B309" s="11" t="str">
        <f aca="false">IF('Carga Vigilador'!B309="","",'Carga Vigilador'!B309)</f>
        <v/>
      </c>
      <c r="C309" s="12" t="str">
        <f aca="false">IF('Carga Vigilador'!C309="","",'Carga Vigilador'!C309)</f>
        <v/>
      </c>
      <c r="D309" s="13" t="str">
        <f aca="false">IF('Carga Vigilador'!D309="","",'Carga Vigilador'!D309)</f>
        <v/>
      </c>
      <c r="E309" s="6" t="str">
        <f aca="false">IF('Carga Vigilador'!E309="","",'Carga Vigilador'!E309)</f>
        <v/>
      </c>
      <c r="F309" s="13" t="str">
        <f aca="false">IF('Carga Vigilador'!F309="","",'Carga Vigilador'!F309)</f>
        <v/>
      </c>
      <c r="G309" s="13" t="str">
        <f aca="false">IF('Carga Vigilador'!G309="","",'Carga Vigilador'!G309)</f>
        <v/>
      </c>
      <c r="H309" s="14"/>
      <c r="I309" s="15"/>
      <c r="J309" s="14"/>
      <c r="K309" s="15"/>
      <c r="L309" s="16"/>
      <c r="M309" s="17"/>
      <c r="N309" s="18" t="str">
        <f aca="false">IF(B309="","",IF(J309="Sí","Multa aplicada",IF(J309="No","Sin multa",IF(H309="Sí","Descargo enviado","Pendiente"))))</f>
        <v/>
      </c>
    </row>
    <row r="310" customFormat="false" ht="15" hidden="false" customHeight="false" outlineLevel="0" collapsed="false">
      <c r="A310" s="6" t="str">
        <f aca="false">IF('Carga Vigilador'!A310="","",'Carga Vigilador'!A310)</f>
        <v/>
      </c>
      <c r="B310" s="11" t="str">
        <f aca="false">IF('Carga Vigilador'!B310="","",'Carga Vigilador'!B310)</f>
        <v/>
      </c>
      <c r="C310" s="12" t="str">
        <f aca="false">IF('Carga Vigilador'!C310="","",'Carga Vigilador'!C310)</f>
        <v/>
      </c>
      <c r="D310" s="13" t="str">
        <f aca="false">IF('Carga Vigilador'!D310="","",'Carga Vigilador'!D310)</f>
        <v/>
      </c>
      <c r="E310" s="6" t="str">
        <f aca="false">IF('Carga Vigilador'!E310="","",'Carga Vigilador'!E310)</f>
        <v/>
      </c>
      <c r="F310" s="13" t="str">
        <f aca="false">IF('Carga Vigilador'!F310="","",'Carga Vigilador'!F310)</f>
        <v/>
      </c>
      <c r="G310" s="13" t="str">
        <f aca="false">IF('Carga Vigilador'!G310="","",'Carga Vigilador'!G310)</f>
        <v/>
      </c>
      <c r="H310" s="14"/>
      <c r="I310" s="15"/>
      <c r="J310" s="14"/>
      <c r="K310" s="15"/>
      <c r="L310" s="16"/>
      <c r="M310" s="17"/>
      <c r="N310" s="18" t="str">
        <f aca="false">IF(B310="","",IF(J310="Sí","Multa aplicada",IF(J310="No","Sin multa",IF(H310="Sí","Descargo enviado","Pendiente"))))</f>
        <v/>
      </c>
    </row>
    <row r="311" customFormat="false" ht="15" hidden="false" customHeight="false" outlineLevel="0" collapsed="false">
      <c r="A311" s="6" t="str">
        <f aca="false">IF('Carga Vigilador'!A311="","",'Carga Vigilador'!A311)</f>
        <v/>
      </c>
      <c r="B311" s="11" t="str">
        <f aca="false">IF('Carga Vigilador'!B311="","",'Carga Vigilador'!B311)</f>
        <v/>
      </c>
      <c r="C311" s="12" t="str">
        <f aca="false">IF('Carga Vigilador'!C311="","",'Carga Vigilador'!C311)</f>
        <v/>
      </c>
      <c r="D311" s="13" t="str">
        <f aca="false">IF('Carga Vigilador'!D311="","",'Carga Vigilador'!D311)</f>
        <v/>
      </c>
      <c r="E311" s="6" t="str">
        <f aca="false">IF('Carga Vigilador'!E311="","",'Carga Vigilador'!E311)</f>
        <v/>
      </c>
      <c r="F311" s="13" t="str">
        <f aca="false">IF('Carga Vigilador'!F311="","",'Carga Vigilador'!F311)</f>
        <v/>
      </c>
      <c r="G311" s="13" t="str">
        <f aca="false">IF('Carga Vigilador'!G311="","",'Carga Vigilador'!G311)</f>
        <v/>
      </c>
      <c r="H311" s="14"/>
      <c r="I311" s="15"/>
      <c r="J311" s="14"/>
      <c r="K311" s="15"/>
      <c r="L311" s="16"/>
      <c r="M311" s="17"/>
      <c r="N311" s="18" t="str">
        <f aca="false">IF(B311="","",IF(J311="Sí","Multa aplicada",IF(J311="No","Sin multa",IF(H311="Sí","Descargo enviado","Pendiente"))))</f>
        <v/>
      </c>
    </row>
    <row r="312" customFormat="false" ht="15" hidden="false" customHeight="false" outlineLevel="0" collapsed="false">
      <c r="A312" s="6" t="str">
        <f aca="false">IF('Carga Vigilador'!A312="","",'Carga Vigilador'!A312)</f>
        <v/>
      </c>
      <c r="B312" s="11" t="str">
        <f aca="false">IF('Carga Vigilador'!B312="","",'Carga Vigilador'!B312)</f>
        <v/>
      </c>
      <c r="C312" s="12" t="str">
        <f aca="false">IF('Carga Vigilador'!C312="","",'Carga Vigilador'!C312)</f>
        <v/>
      </c>
      <c r="D312" s="13" t="str">
        <f aca="false">IF('Carga Vigilador'!D312="","",'Carga Vigilador'!D312)</f>
        <v/>
      </c>
      <c r="E312" s="6" t="str">
        <f aca="false">IF('Carga Vigilador'!E312="","",'Carga Vigilador'!E312)</f>
        <v/>
      </c>
      <c r="F312" s="13" t="str">
        <f aca="false">IF('Carga Vigilador'!F312="","",'Carga Vigilador'!F312)</f>
        <v/>
      </c>
      <c r="G312" s="13" t="str">
        <f aca="false">IF('Carga Vigilador'!G312="","",'Carga Vigilador'!G312)</f>
        <v/>
      </c>
      <c r="H312" s="14"/>
      <c r="I312" s="15"/>
      <c r="J312" s="14"/>
      <c r="K312" s="15"/>
      <c r="L312" s="16"/>
      <c r="M312" s="17"/>
      <c r="N312" s="18" t="str">
        <f aca="false">IF(B312="","",IF(J312="Sí","Multa aplicada",IF(J312="No","Sin multa",IF(H312="Sí","Descargo enviado","Pendiente"))))</f>
        <v/>
      </c>
    </row>
    <row r="313" customFormat="false" ht="15" hidden="false" customHeight="false" outlineLevel="0" collapsed="false">
      <c r="A313" s="6" t="str">
        <f aca="false">IF('Carga Vigilador'!A313="","",'Carga Vigilador'!A313)</f>
        <v/>
      </c>
      <c r="B313" s="11" t="str">
        <f aca="false">IF('Carga Vigilador'!B313="","",'Carga Vigilador'!B313)</f>
        <v/>
      </c>
      <c r="C313" s="12" t="str">
        <f aca="false">IF('Carga Vigilador'!C313="","",'Carga Vigilador'!C313)</f>
        <v/>
      </c>
      <c r="D313" s="13" t="str">
        <f aca="false">IF('Carga Vigilador'!D313="","",'Carga Vigilador'!D313)</f>
        <v/>
      </c>
      <c r="E313" s="6" t="str">
        <f aca="false">IF('Carga Vigilador'!E313="","",'Carga Vigilador'!E313)</f>
        <v/>
      </c>
      <c r="F313" s="13" t="str">
        <f aca="false">IF('Carga Vigilador'!F313="","",'Carga Vigilador'!F313)</f>
        <v/>
      </c>
      <c r="G313" s="13" t="str">
        <f aca="false">IF('Carga Vigilador'!G313="","",'Carga Vigilador'!G313)</f>
        <v/>
      </c>
      <c r="H313" s="14"/>
      <c r="I313" s="15"/>
      <c r="J313" s="14"/>
      <c r="K313" s="15"/>
      <c r="L313" s="16"/>
      <c r="M313" s="17"/>
      <c r="N313" s="18" t="str">
        <f aca="false">IF(B313="","",IF(J313="Sí","Multa aplicada",IF(J313="No","Sin multa",IF(H313="Sí","Descargo enviado","Pendiente"))))</f>
        <v/>
      </c>
    </row>
    <row r="314" customFormat="false" ht="15" hidden="false" customHeight="false" outlineLevel="0" collapsed="false">
      <c r="A314" s="6" t="str">
        <f aca="false">IF('Carga Vigilador'!A314="","",'Carga Vigilador'!A314)</f>
        <v/>
      </c>
      <c r="B314" s="11" t="str">
        <f aca="false">IF('Carga Vigilador'!B314="","",'Carga Vigilador'!B314)</f>
        <v/>
      </c>
      <c r="C314" s="12" t="str">
        <f aca="false">IF('Carga Vigilador'!C314="","",'Carga Vigilador'!C314)</f>
        <v/>
      </c>
      <c r="D314" s="13" t="str">
        <f aca="false">IF('Carga Vigilador'!D314="","",'Carga Vigilador'!D314)</f>
        <v/>
      </c>
      <c r="E314" s="6" t="str">
        <f aca="false">IF('Carga Vigilador'!E314="","",'Carga Vigilador'!E314)</f>
        <v/>
      </c>
      <c r="F314" s="13" t="str">
        <f aca="false">IF('Carga Vigilador'!F314="","",'Carga Vigilador'!F314)</f>
        <v/>
      </c>
      <c r="G314" s="13" t="str">
        <f aca="false">IF('Carga Vigilador'!G314="","",'Carga Vigilador'!G314)</f>
        <v/>
      </c>
      <c r="H314" s="14"/>
      <c r="I314" s="15"/>
      <c r="J314" s="14"/>
      <c r="K314" s="15"/>
      <c r="L314" s="16"/>
      <c r="M314" s="17"/>
      <c r="N314" s="18" t="str">
        <f aca="false">IF(B314="","",IF(J314="Sí","Multa aplicada",IF(J314="No","Sin multa",IF(H314="Sí","Descargo enviado","Pendiente"))))</f>
        <v/>
      </c>
    </row>
    <row r="315" customFormat="false" ht="15" hidden="false" customHeight="false" outlineLevel="0" collapsed="false">
      <c r="A315" s="6" t="str">
        <f aca="false">IF('Carga Vigilador'!A315="","",'Carga Vigilador'!A315)</f>
        <v/>
      </c>
      <c r="B315" s="11" t="str">
        <f aca="false">IF('Carga Vigilador'!B315="","",'Carga Vigilador'!B315)</f>
        <v/>
      </c>
      <c r="C315" s="12" t="str">
        <f aca="false">IF('Carga Vigilador'!C315="","",'Carga Vigilador'!C315)</f>
        <v/>
      </c>
      <c r="D315" s="13" t="str">
        <f aca="false">IF('Carga Vigilador'!D315="","",'Carga Vigilador'!D315)</f>
        <v/>
      </c>
      <c r="E315" s="6" t="str">
        <f aca="false">IF('Carga Vigilador'!E315="","",'Carga Vigilador'!E315)</f>
        <v/>
      </c>
      <c r="F315" s="13" t="str">
        <f aca="false">IF('Carga Vigilador'!F315="","",'Carga Vigilador'!F315)</f>
        <v/>
      </c>
      <c r="G315" s="13" t="str">
        <f aca="false">IF('Carga Vigilador'!G315="","",'Carga Vigilador'!G315)</f>
        <v/>
      </c>
      <c r="H315" s="14"/>
      <c r="I315" s="15"/>
      <c r="J315" s="14"/>
      <c r="K315" s="15"/>
      <c r="L315" s="16"/>
      <c r="M315" s="17"/>
      <c r="N315" s="18" t="str">
        <f aca="false">IF(B315="","",IF(J315="Sí","Multa aplicada",IF(J315="No","Sin multa",IF(H315="Sí","Descargo enviado","Pendiente"))))</f>
        <v/>
      </c>
    </row>
    <row r="316" customFormat="false" ht="15" hidden="false" customHeight="false" outlineLevel="0" collapsed="false">
      <c r="A316" s="6" t="str">
        <f aca="false">IF('Carga Vigilador'!A316="","",'Carga Vigilador'!A316)</f>
        <v/>
      </c>
      <c r="B316" s="11" t="str">
        <f aca="false">IF('Carga Vigilador'!B316="","",'Carga Vigilador'!B316)</f>
        <v/>
      </c>
      <c r="C316" s="12" t="str">
        <f aca="false">IF('Carga Vigilador'!C316="","",'Carga Vigilador'!C316)</f>
        <v/>
      </c>
      <c r="D316" s="13" t="str">
        <f aca="false">IF('Carga Vigilador'!D316="","",'Carga Vigilador'!D316)</f>
        <v/>
      </c>
      <c r="E316" s="6" t="str">
        <f aca="false">IF('Carga Vigilador'!E316="","",'Carga Vigilador'!E316)</f>
        <v/>
      </c>
      <c r="F316" s="13" t="str">
        <f aca="false">IF('Carga Vigilador'!F316="","",'Carga Vigilador'!F316)</f>
        <v/>
      </c>
      <c r="G316" s="13" t="str">
        <f aca="false">IF('Carga Vigilador'!G316="","",'Carga Vigilador'!G316)</f>
        <v/>
      </c>
      <c r="H316" s="14"/>
      <c r="I316" s="15"/>
      <c r="J316" s="14"/>
      <c r="K316" s="15"/>
      <c r="L316" s="16"/>
      <c r="M316" s="17"/>
      <c r="N316" s="18" t="str">
        <f aca="false">IF(B316="","",IF(J316="Sí","Multa aplicada",IF(J316="No","Sin multa",IF(H316="Sí","Descargo enviado","Pendiente"))))</f>
        <v/>
      </c>
    </row>
    <row r="317" customFormat="false" ht="15" hidden="false" customHeight="false" outlineLevel="0" collapsed="false">
      <c r="A317" s="6" t="str">
        <f aca="false">IF('Carga Vigilador'!A317="","",'Carga Vigilador'!A317)</f>
        <v/>
      </c>
      <c r="B317" s="11" t="str">
        <f aca="false">IF('Carga Vigilador'!B317="","",'Carga Vigilador'!B317)</f>
        <v/>
      </c>
      <c r="C317" s="12" t="str">
        <f aca="false">IF('Carga Vigilador'!C317="","",'Carga Vigilador'!C317)</f>
        <v/>
      </c>
      <c r="D317" s="13" t="str">
        <f aca="false">IF('Carga Vigilador'!D317="","",'Carga Vigilador'!D317)</f>
        <v/>
      </c>
      <c r="E317" s="6" t="str">
        <f aca="false">IF('Carga Vigilador'!E317="","",'Carga Vigilador'!E317)</f>
        <v/>
      </c>
      <c r="F317" s="13" t="str">
        <f aca="false">IF('Carga Vigilador'!F317="","",'Carga Vigilador'!F317)</f>
        <v/>
      </c>
      <c r="G317" s="13" t="str">
        <f aca="false">IF('Carga Vigilador'!G317="","",'Carga Vigilador'!G317)</f>
        <v/>
      </c>
      <c r="H317" s="14"/>
      <c r="I317" s="15"/>
      <c r="J317" s="14"/>
      <c r="K317" s="15"/>
      <c r="L317" s="16"/>
      <c r="M317" s="17"/>
      <c r="N317" s="18" t="str">
        <f aca="false">IF(B317="","",IF(J317="Sí","Multa aplicada",IF(J317="No","Sin multa",IF(H317="Sí","Descargo enviado","Pendiente"))))</f>
        <v/>
      </c>
    </row>
    <row r="318" customFormat="false" ht="15" hidden="false" customHeight="false" outlineLevel="0" collapsed="false">
      <c r="A318" s="6" t="str">
        <f aca="false">IF('Carga Vigilador'!A318="","",'Carga Vigilador'!A318)</f>
        <v/>
      </c>
      <c r="B318" s="11" t="str">
        <f aca="false">IF('Carga Vigilador'!B318="","",'Carga Vigilador'!B318)</f>
        <v/>
      </c>
      <c r="C318" s="12" t="str">
        <f aca="false">IF('Carga Vigilador'!C318="","",'Carga Vigilador'!C318)</f>
        <v/>
      </c>
      <c r="D318" s="13" t="str">
        <f aca="false">IF('Carga Vigilador'!D318="","",'Carga Vigilador'!D318)</f>
        <v/>
      </c>
      <c r="E318" s="6" t="str">
        <f aca="false">IF('Carga Vigilador'!E318="","",'Carga Vigilador'!E318)</f>
        <v/>
      </c>
      <c r="F318" s="13" t="str">
        <f aca="false">IF('Carga Vigilador'!F318="","",'Carga Vigilador'!F318)</f>
        <v/>
      </c>
      <c r="G318" s="13" t="str">
        <f aca="false">IF('Carga Vigilador'!G318="","",'Carga Vigilador'!G318)</f>
        <v/>
      </c>
      <c r="H318" s="14"/>
      <c r="I318" s="15"/>
      <c r="J318" s="14"/>
      <c r="K318" s="15"/>
      <c r="L318" s="16"/>
      <c r="M318" s="17"/>
      <c r="N318" s="18" t="str">
        <f aca="false">IF(B318="","",IF(J318="Sí","Multa aplicada",IF(J318="No","Sin multa",IF(H318="Sí","Descargo enviado","Pendiente"))))</f>
        <v/>
      </c>
    </row>
    <row r="319" customFormat="false" ht="15" hidden="false" customHeight="false" outlineLevel="0" collapsed="false">
      <c r="A319" s="6" t="str">
        <f aca="false">IF('Carga Vigilador'!A319="","",'Carga Vigilador'!A319)</f>
        <v/>
      </c>
      <c r="B319" s="11" t="str">
        <f aca="false">IF('Carga Vigilador'!B319="","",'Carga Vigilador'!B319)</f>
        <v/>
      </c>
      <c r="C319" s="12" t="str">
        <f aca="false">IF('Carga Vigilador'!C319="","",'Carga Vigilador'!C319)</f>
        <v/>
      </c>
      <c r="D319" s="13" t="str">
        <f aca="false">IF('Carga Vigilador'!D319="","",'Carga Vigilador'!D319)</f>
        <v/>
      </c>
      <c r="E319" s="6" t="str">
        <f aca="false">IF('Carga Vigilador'!E319="","",'Carga Vigilador'!E319)</f>
        <v/>
      </c>
      <c r="F319" s="13" t="str">
        <f aca="false">IF('Carga Vigilador'!F319="","",'Carga Vigilador'!F319)</f>
        <v/>
      </c>
      <c r="G319" s="13" t="str">
        <f aca="false">IF('Carga Vigilador'!G319="","",'Carga Vigilador'!G319)</f>
        <v/>
      </c>
      <c r="H319" s="14"/>
      <c r="I319" s="15"/>
      <c r="J319" s="14"/>
      <c r="K319" s="15"/>
      <c r="L319" s="16"/>
      <c r="M319" s="17"/>
      <c r="N319" s="18" t="str">
        <f aca="false">IF(B319="","",IF(J319="Sí","Multa aplicada",IF(J319="No","Sin multa",IF(H319="Sí","Descargo enviado","Pendiente"))))</f>
        <v/>
      </c>
    </row>
    <row r="320" customFormat="false" ht="15" hidden="false" customHeight="false" outlineLevel="0" collapsed="false">
      <c r="A320" s="6" t="str">
        <f aca="false">IF('Carga Vigilador'!A320="","",'Carga Vigilador'!A320)</f>
        <v/>
      </c>
      <c r="B320" s="11" t="str">
        <f aca="false">IF('Carga Vigilador'!B320="","",'Carga Vigilador'!B320)</f>
        <v/>
      </c>
      <c r="C320" s="12" t="str">
        <f aca="false">IF('Carga Vigilador'!C320="","",'Carga Vigilador'!C320)</f>
        <v/>
      </c>
      <c r="D320" s="13" t="str">
        <f aca="false">IF('Carga Vigilador'!D320="","",'Carga Vigilador'!D320)</f>
        <v/>
      </c>
      <c r="E320" s="6" t="str">
        <f aca="false">IF('Carga Vigilador'!E320="","",'Carga Vigilador'!E320)</f>
        <v/>
      </c>
      <c r="F320" s="13" t="str">
        <f aca="false">IF('Carga Vigilador'!F320="","",'Carga Vigilador'!F320)</f>
        <v/>
      </c>
      <c r="G320" s="13" t="str">
        <f aca="false">IF('Carga Vigilador'!G320="","",'Carga Vigilador'!G320)</f>
        <v/>
      </c>
      <c r="H320" s="14"/>
      <c r="I320" s="15"/>
      <c r="J320" s="14"/>
      <c r="K320" s="15"/>
      <c r="L320" s="16"/>
      <c r="M320" s="17"/>
      <c r="N320" s="18" t="str">
        <f aca="false">IF(B320="","",IF(J320="Sí","Multa aplicada",IF(J320="No","Sin multa",IF(H320="Sí","Descargo enviado","Pendiente"))))</f>
        <v/>
      </c>
    </row>
    <row r="321" customFormat="false" ht="15" hidden="false" customHeight="false" outlineLevel="0" collapsed="false">
      <c r="A321" s="6" t="str">
        <f aca="false">IF('Carga Vigilador'!A321="","",'Carga Vigilador'!A321)</f>
        <v/>
      </c>
      <c r="B321" s="11" t="str">
        <f aca="false">IF('Carga Vigilador'!B321="","",'Carga Vigilador'!B321)</f>
        <v/>
      </c>
      <c r="C321" s="12" t="str">
        <f aca="false">IF('Carga Vigilador'!C321="","",'Carga Vigilador'!C321)</f>
        <v/>
      </c>
      <c r="D321" s="13" t="str">
        <f aca="false">IF('Carga Vigilador'!D321="","",'Carga Vigilador'!D321)</f>
        <v/>
      </c>
      <c r="E321" s="6" t="str">
        <f aca="false">IF('Carga Vigilador'!E321="","",'Carga Vigilador'!E321)</f>
        <v/>
      </c>
      <c r="F321" s="13" t="str">
        <f aca="false">IF('Carga Vigilador'!F321="","",'Carga Vigilador'!F321)</f>
        <v/>
      </c>
      <c r="G321" s="13" t="str">
        <f aca="false">IF('Carga Vigilador'!G321="","",'Carga Vigilador'!G321)</f>
        <v/>
      </c>
      <c r="H321" s="14"/>
      <c r="I321" s="15"/>
      <c r="J321" s="14"/>
      <c r="K321" s="15"/>
      <c r="L321" s="16"/>
      <c r="M321" s="17"/>
      <c r="N321" s="18" t="str">
        <f aca="false">IF(B321="","",IF(J321="Sí","Multa aplicada",IF(J321="No","Sin multa",IF(H321="Sí","Descargo enviado","Pendiente"))))</f>
        <v/>
      </c>
    </row>
    <row r="322" customFormat="false" ht="15" hidden="false" customHeight="false" outlineLevel="0" collapsed="false">
      <c r="A322" s="6" t="str">
        <f aca="false">IF('Carga Vigilador'!A322="","",'Carga Vigilador'!A322)</f>
        <v/>
      </c>
      <c r="B322" s="11" t="str">
        <f aca="false">IF('Carga Vigilador'!B322="","",'Carga Vigilador'!B322)</f>
        <v/>
      </c>
      <c r="C322" s="12" t="str">
        <f aca="false">IF('Carga Vigilador'!C322="","",'Carga Vigilador'!C322)</f>
        <v/>
      </c>
      <c r="D322" s="13" t="str">
        <f aca="false">IF('Carga Vigilador'!D322="","",'Carga Vigilador'!D322)</f>
        <v/>
      </c>
      <c r="E322" s="6" t="str">
        <f aca="false">IF('Carga Vigilador'!E322="","",'Carga Vigilador'!E322)</f>
        <v/>
      </c>
      <c r="F322" s="13" t="str">
        <f aca="false">IF('Carga Vigilador'!F322="","",'Carga Vigilador'!F322)</f>
        <v/>
      </c>
      <c r="G322" s="13" t="str">
        <f aca="false">IF('Carga Vigilador'!G322="","",'Carga Vigilador'!G322)</f>
        <v/>
      </c>
      <c r="H322" s="14"/>
      <c r="I322" s="15"/>
      <c r="J322" s="14"/>
      <c r="K322" s="15"/>
      <c r="L322" s="16"/>
      <c r="M322" s="17"/>
      <c r="N322" s="18" t="str">
        <f aca="false">IF(B322="","",IF(J322="Sí","Multa aplicada",IF(J322="No","Sin multa",IF(H322="Sí","Descargo enviado","Pendiente"))))</f>
        <v/>
      </c>
    </row>
    <row r="323" customFormat="false" ht="15" hidden="false" customHeight="false" outlineLevel="0" collapsed="false">
      <c r="A323" s="6" t="str">
        <f aca="false">IF('Carga Vigilador'!A323="","",'Carga Vigilador'!A323)</f>
        <v/>
      </c>
      <c r="B323" s="11" t="str">
        <f aca="false">IF('Carga Vigilador'!B323="","",'Carga Vigilador'!B323)</f>
        <v/>
      </c>
      <c r="C323" s="12" t="str">
        <f aca="false">IF('Carga Vigilador'!C323="","",'Carga Vigilador'!C323)</f>
        <v/>
      </c>
      <c r="D323" s="13" t="str">
        <f aca="false">IF('Carga Vigilador'!D323="","",'Carga Vigilador'!D323)</f>
        <v/>
      </c>
      <c r="E323" s="6" t="str">
        <f aca="false">IF('Carga Vigilador'!E323="","",'Carga Vigilador'!E323)</f>
        <v/>
      </c>
      <c r="F323" s="13" t="str">
        <f aca="false">IF('Carga Vigilador'!F323="","",'Carga Vigilador'!F323)</f>
        <v/>
      </c>
      <c r="G323" s="13" t="str">
        <f aca="false">IF('Carga Vigilador'!G323="","",'Carga Vigilador'!G323)</f>
        <v/>
      </c>
      <c r="H323" s="14"/>
      <c r="I323" s="15"/>
      <c r="J323" s="14"/>
      <c r="K323" s="15"/>
      <c r="L323" s="16"/>
      <c r="M323" s="17"/>
      <c r="N323" s="18" t="str">
        <f aca="false">IF(B323="","",IF(J323="Sí","Multa aplicada",IF(J323="No","Sin multa",IF(H323="Sí","Descargo enviado","Pendiente"))))</f>
        <v/>
      </c>
    </row>
    <row r="324" customFormat="false" ht="15" hidden="false" customHeight="false" outlineLevel="0" collapsed="false">
      <c r="A324" s="6" t="str">
        <f aca="false">IF('Carga Vigilador'!A324="","",'Carga Vigilador'!A324)</f>
        <v/>
      </c>
      <c r="B324" s="11" t="str">
        <f aca="false">IF('Carga Vigilador'!B324="","",'Carga Vigilador'!B324)</f>
        <v/>
      </c>
      <c r="C324" s="12" t="str">
        <f aca="false">IF('Carga Vigilador'!C324="","",'Carga Vigilador'!C324)</f>
        <v/>
      </c>
      <c r="D324" s="13" t="str">
        <f aca="false">IF('Carga Vigilador'!D324="","",'Carga Vigilador'!D324)</f>
        <v/>
      </c>
      <c r="E324" s="6" t="str">
        <f aca="false">IF('Carga Vigilador'!E324="","",'Carga Vigilador'!E324)</f>
        <v/>
      </c>
      <c r="F324" s="13" t="str">
        <f aca="false">IF('Carga Vigilador'!F324="","",'Carga Vigilador'!F324)</f>
        <v/>
      </c>
      <c r="G324" s="13" t="str">
        <f aca="false">IF('Carga Vigilador'!G324="","",'Carga Vigilador'!G324)</f>
        <v/>
      </c>
      <c r="H324" s="14"/>
      <c r="I324" s="15"/>
      <c r="J324" s="14"/>
      <c r="K324" s="15"/>
      <c r="L324" s="16"/>
      <c r="M324" s="17"/>
      <c r="N324" s="18" t="str">
        <f aca="false">IF(B324="","",IF(J324="Sí","Multa aplicada",IF(J324="No","Sin multa",IF(H324="Sí","Descargo enviado","Pendiente"))))</f>
        <v/>
      </c>
    </row>
    <row r="325" customFormat="false" ht="15" hidden="false" customHeight="false" outlineLevel="0" collapsed="false">
      <c r="A325" s="6" t="str">
        <f aca="false">IF('Carga Vigilador'!A325="","",'Carga Vigilador'!A325)</f>
        <v/>
      </c>
      <c r="B325" s="11" t="str">
        <f aca="false">IF('Carga Vigilador'!B325="","",'Carga Vigilador'!B325)</f>
        <v/>
      </c>
      <c r="C325" s="12" t="str">
        <f aca="false">IF('Carga Vigilador'!C325="","",'Carga Vigilador'!C325)</f>
        <v/>
      </c>
      <c r="D325" s="13" t="str">
        <f aca="false">IF('Carga Vigilador'!D325="","",'Carga Vigilador'!D325)</f>
        <v/>
      </c>
      <c r="E325" s="6" t="str">
        <f aca="false">IF('Carga Vigilador'!E325="","",'Carga Vigilador'!E325)</f>
        <v/>
      </c>
      <c r="F325" s="13" t="str">
        <f aca="false">IF('Carga Vigilador'!F325="","",'Carga Vigilador'!F325)</f>
        <v/>
      </c>
      <c r="G325" s="13" t="str">
        <f aca="false">IF('Carga Vigilador'!G325="","",'Carga Vigilador'!G325)</f>
        <v/>
      </c>
      <c r="H325" s="14"/>
      <c r="I325" s="15"/>
      <c r="J325" s="14"/>
      <c r="K325" s="15"/>
      <c r="L325" s="16"/>
      <c r="M325" s="17"/>
      <c r="N325" s="18" t="str">
        <f aca="false">IF(B325="","",IF(J325="Sí","Multa aplicada",IF(J325="No","Sin multa",IF(H325="Sí","Descargo enviado","Pendiente"))))</f>
        <v/>
      </c>
    </row>
    <row r="326" customFormat="false" ht="15" hidden="false" customHeight="false" outlineLevel="0" collapsed="false">
      <c r="A326" s="6" t="str">
        <f aca="false">IF('Carga Vigilador'!A326="","",'Carga Vigilador'!A326)</f>
        <v/>
      </c>
      <c r="B326" s="11" t="str">
        <f aca="false">IF('Carga Vigilador'!B326="","",'Carga Vigilador'!B326)</f>
        <v/>
      </c>
      <c r="C326" s="12" t="str">
        <f aca="false">IF('Carga Vigilador'!C326="","",'Carga Vigilador'!C326)</f>
        <v/>
      </c>
      <c r="D326" s="13" t="str">
        <f aca="false">IF('Carga Vigilador'!D326="","",'Carga Vigilador'!D326)</f>
        <v/>
      </c>
      <c r="E326" s="6" t="str">
        <f aca="false">IF('Carga Vigilador'!E326="","",'Carga Vigilador'!E326)</f>
        <v/>
      </c>
      <c r="F326" s="13" t="str">
        <f aca="false">IF('Carga Vigilador'!F326="","",'Carga Vigilador'!F326)</f>
        <v/>
      </c>
      <c r="G326" s="13" t="str">
        <f aca="false">IF('Carga Vigilador'!G326="","",'Carga Vigilador'!G326)</f>
        <v/>
      </c>
      <c r="H326" s="14"/>
      <c r="I326" s="15"/>
      <c r="J326" s="14"/>
      <c r="K326" s="15"/>
      <c r="L326" s="16"/>
      <c r="M326" s="17"/>
      <c r="N326" s="18" t="str">
        <f aca="false">IF(B326="","",IF(J326="Sí","Multa aplicada",IF(J326="No","Sin multa",IF(H326="Sí","Descargo enviado","Pendiente"))))</f>
        <v/>
      </c>
    </row>
    <row r="327" customFormat="false" ht="15" hidden="false" customHeight="false" outlineLevel="0" collapsed="false">
      <c r="A327" s="6" t="str">
        <f aca="false">IF('Carga Vigilador'!A327="","",'Carga Vigilador'!A327)</f>
        <v/>
      </c>
      <c r="B327" s="11" t="str">
        <f aca="false">IF('Carga Vigilador'!B327="","",'Carga Vigilador'!B327)</f>
        <v/>
      </c>
      <c r="C327" s="12" t="str">
        <f aca="false">IF('Carga Vigilador'!C327="","",'Carga Vigilador'!C327)</f>
        <v/>
      </c>
      <c r="D327" s="13" t="str">
        <f aca="false">IF('Carga Vigilador'!D327="","",'Carga Vigilador'!D327)</f>
        <v/>
      </c>
      <c r="E327" s="6" t="str">
        <f aca="false">IF('Carga Vigilador'!E327="","",'Carga Vigilador'!E327)</f>
        <v/>
      </c>
      <c r="F327" s="13" t="str">
        <f aca="false">IF('Carga Vigilador'!F327="","",'Carga Vigilador'!F327)</f>
        <v/>
      </c>
      <c r="G327" s="13" t="str">
        <f aca="false">IF('Carga Vigilador'!G327="","",'Carga Vigilador'!G327)</f>
        <v/>
      </c>
      <c r="H327" s="14"/>
      <c r="I327" s="15"/>
      <c r="J327" s="14"/>
      <c r="K327" s="15"/>
      <c r="L327" s="16"/>
      <c r="M327" s="17"/>
      <c r="N327" s="18" t="str">
        <f aca="false">IF(B327="","",IF(J327="Sí","Multa aplicada",IF(J327="No","Sin multa",IF(H327="Sí","Descargo enviado","Pendiente"))))</f>
        <v/>
      </c>
    </row>
    <row r="328" customFormat="false" ht="15" hidden="false" customHeight="false" outlineLevel="0" collapsed="false">
      <c r="A328" s="6" t="str">
        <f aca="false">IF('Carga Vigilador'!A328="","",'Carga Vigilador'!A328)</f>
        <v/>
      </c>
      <c r="B328" s="11" t="str">
        <f aca="false">IF('Carga Vigilador'!B328="","",'Carga Vigilador'!B328)</f>
        <v/>
      </c>
      <c r="C328" s="12" t="str">
        <f aca="false">IF('Carga Vigilador'!C328="","",'Carga Vigilador'!C328)</f>
        <v/>
      </c>
      <c r="D328" s="13" t="str">
        <f aca="false">IF('Carga Vigilador'!D328="","",'Carga Vigilador'!D328)</f>
        <v/>
      </c>
      <c r="E328" s="6" t="str">
        <f aca="false">IF('Carga Vigilador'!E328="","",'Carga Vigilador'!E328)</f>
        <v/>
      </c>
      <c r="F328" s="13" t="str">
        <f aca="false">IF('Carga Vigilador'!F328="","",'Carga Vigilador'!F328)</f>
        <v/>
      </c>
      <c r="G328" s="13" t="str">
        <f aca="false">IF('Carga Vigilador'!G328="","",'Carga Vigilador'!G328)</f>
        <v/>
      </c>
      <c r="H328" s="14"/>
      <c r="I328" s="15"/>
      <c r="J328" s="14"/>
      <c r="K328" s="15"/>
      <c r="L328" s="16"/>
      <c r="M328" s="17"/>
      <c r="N328" s="18" t="str">
        <f aca="false">IF(B328="","",IF(J328="Sí","Multa aplicada",IF(J328="No","Sin multa",IF(H328="Sí","Descargo enviado","Pendiente"))))</f>
        <v/>
      </c>
    </row>
    <row r="329" customFormat="false" ht="15" hidden="false" customHeight="false" outlineLevel="0" collapsed="false">
      <c r="A329" s="6" t="str">
        <f aca="false">IF('Carga Vigilador'!A329="","",'Carga Vigilador'!A329)</f>
        <v/>
      </c>
      <c r="B329" s="11" t="str">
        <f aca="false">IF('Carga Vigilador'!B329="","",'Carga Vigilador'!B329)</f>
        <v/>
      </c>
      <c r="C329" s="12" t="str">
        <f aca="false">IF('Carga Vigilador'!C329="","",'Carga Vigilador'!C329)</f>
        <v/>
      </c>
      <c r="D329" s="13" t="str">
        <f aca="false">IF('Carga Vigilador'!D329="","",'Carga Vigilador'!D329)</f>
        <v/>
      </c>
      <c r="E329" s="6" t="str">
        <f aca="false">IF('Carga Vigilador'!E329="","",'Carga Vigilador'!E329)</f>
        <v/>
      </c>
      <c r="F329" s="13" t="str">
        <f aca="false">IF('Carga Vigilador'!F329="","",'Carga Vigilador'!F329)</f>
        <v/>
      </c>
      <c r="G329" s="13" t="str">
        <f aca="false">IF('Carga Vigilador'!G329="","",'Carga Vigilador'!G329)</f>
        <v/>
      </c>
      <c r="H329" s="14"/>
      <c r="I329" s="15"/>
      <c r="J329" s="14"/>
      <c r="K329" s="15"/>
      <c r="L329" s="16"/>
      <c r="M329" s="17"/>
      <c r="N329" s="18" t="str">
        <f aca="false">IF(B329="","",IF(J329="Sí","Multa aplicada",IF(J329="No","Sin multa",IF(H329="Sí","Descargo enviado","Pendiente"))))</f>
        <v/>
      </c>
    </row>
    <row r="330" customFormat="false" ht="15" hidden="false" customHeight="false" outlineLevel="0" collapsed="false">
      <c r="A330" s="6" t="str">
        <f aca="false">IF('Carga Vigilador'!A330="","",'Carga Vigilador'!A330)</f>
        <v/>
      </c>
      <c r="B330" s="11" t="str">
        <f aca="false">IF('Carga Vigilador'!B330="","",'Carga Vigilador'!B330)</f>
        <v/>
      </c>
      <c r="C330" s="12" t="str">
        <f aca="false">IF('Carga Vigilador'!C330="","",'Carga Vigilador'!C330)</f>
        <v/>
      </c>
      <c r="D330" s="13" t="str">
        <f aca="false">IF('Carga Vigilador'!D330="","",'Carga Vigilador'!D330)</f>
        <v/>
      </c>
      <c r="E330" s="6" t="str">
        <f aca="false">IF('Carga Vigilador'!E330="","",'Carga Vigilador'!E330)</f>
        <v/>
      </c>
      <c r="F330" s="13" t="str">
        <f aca="false">IF('Carga Vigilador'!F330="","",'Carga Vigilador'!F330)</f>
        <v/>
      </c>
      <c r="G330" s="13" t="str">
        <f aca="false">IF('Carga Vigilador'!G330="","",'Carga Vigilador'!G330)</f>
        <v/>
      </c>
      <c r="H330" s="14"/>
      <c r="I330" s="15"/>
      <c r="J330" s="14"/>
      <c r="K330" s="15"/>
      <c r="L330" s="16"/>
      <c r="M330" s="17"/>
      <c r="N330" s="18" t="str">
        <f aca="false">IF(B330="","",IF(J330="Sí","Multa aplicada",IF(J330="No","Sin multa",IF(H330="Sí","Descargo enviado","Pendiente"))))</f>
        <v/>
      </c>
    </row>
    <row r="331" customFormat="false" ht="15" hidden="false" customHeight="false" outlineLevel="0" collapsed="false">
      <c r="A331" s="6" t="str">
        <f aca="false">IF('Carga Vigilador'!A331="","",'Carga Vigilador'!A331)</f>
        <v/>
      </c>
      <c r="B331" s="11" t="str">
        <f aca="false">IF('Carga Vigilador'!B331="","",'Carga Vigilador'!B331)</f>
        <v/>
      </c>
      <c r="C331" s="12" t="str">
        <f aca="false">IF('Carga Vigilador'!C331="","",'Carga Vigilador'!C331)</f>
        <v/>
      </c>
      <c r="D331" s="13" t="str">
        <f aca="false">IF('Carga Vigilador'!D331="","",'Carga Vigilador'!D331)</f>
        <v/>
      </c>
      <c r="E331" s="6" t="str">
        <f aca="false">IF('Carga Vigilador'!E331="","",'Carga Vigilador'!E331)</f>
        <v/>
      </c>
      <c r="F331" s="13" t="str">
        <f aca="false">IF('Carga Vigilador'!F331="","",'Carga Vigilador'!F331)</f>
        <v/>
      </c>
      <c r="G331" s="13" t="str">
        <f aca="false">IF('Carga Vigilador'!G331="","",'Carga Vigilador'!G331)</f>
        <v/>
      </c>
      <c r="H331" s="14"/>
      <c r="I331" s="15"/>
      <c r="J331" s="14"/>
      <c r="K331" s="15"/>
      <c r="L331" s="16"/>
      <c r="M331" s="17"/>
      <c r="N331" s="18" t="str">
        <f aca="false">IF(B331="","",IF(J331="Sí","Multa aplicada",IF(J331="No","Sin multa",IF(H331="Sí","Descargo enviado","Pendiente"))))</f>
        <v/>
      </c>
    </row>
    <row r="332" customFormat="false" ht="15" hidden="false" customHeight="false" outlineLevel="0" collapsed="false">
      <c r="A332" s="6" t="str">
        <f aca="false">IF('Carga Vigilador'!A332="","",'Carga Vigilador'!A332)</f>
        <v/>
      </c>
      <c r="B332" s="11" t="str">
        <f aca="false">IF('Carga Vigilador'!B332="","",'Carga Vigilador'!B332)</f>
        <v/>
      </c>
      <c r="C332" s="12" t="str">
        <f aca="false">IF('Carga Vigilador'!C332="","",'Carga Vigilador'!C332)</f>
        <v/>
      </c>
      <c r="D332" s="13" t="str">
        <f aca="false">IF('Carga Vigilador'!D332="","",'Carga Vigilador'!D332)</f>
        <v/>
      </c>
      <c r="E332" s="6" t="str">
        <f aca="false">IF('Carga Vigilador'!E332="","",'Carga Vigilador'!E332)</f>
        <v/>
      </c>
      <c r="F332" s="13" t="str">
        <f aca="false">IF('Carga Vigilador'!F332="","",'Carga Vigilador'!F332)</f>
        <v/>
      </c>
      <c r="G332" s="13" t="str">
        <f aca="false">IF('Carga Vigilador'!G332="","",'Carga Vigilador'!G332)</f>
        <v/>
      </c>
      <c r="H332" s="14"/>
      <c r="I332" s="15"/>
      <c r="J332" s="14"/>
      <c r="K332" s="15"/>
      <c r="L332" s="16"/>
      <c r="M332" s="17"/>
      <c r="N332" s="18" t="str">
        <f aca="false">IF(B332="","",IF(J332="Sí","Multa aplicada",IF(J332="No","Sin multa",IF(H332="Sí","Descargo enviado","Pendiente"))))</f>
        <v/>
      </c>
    </row>
    <row r="333" customFormat="false" ht="15" hidden="false" customHeight="false" outlineLevel="0" collapsed="false">
      <c r="A333" s="6" t="str">
        <f aca="false">IF('Carga Vigilador'!A333="","",'Carga Vigilador'!A333)</f>
        <v/>
      </c>
      <c r="B333" s="11" t="str">
        <f aca="false">IF('Carga Vigilador'!B333="","",'Carga Vigilador'!B333)</f>
        <v/>
      </c>
      <c r="C333" s="12" t="str">
        <f aca="false">IF('Carga Vigilador'!C333="","",'Carga Vigilador'!C333)</f>
        <v/>
      </c>
      <c r="D333" s="13" t="str">
        <f aca="false">IF('Carga Vigilador'!D333="","",'Carga Vigilador'!D333)</f>
        <v/>
      </c>
      <c r="E333" s="6" t="str">
        <f aca="false">IF('Carga Vigilador'!E333="","",'Carga Vigilador'!E333)</f>
        <v/>
      </c>
      <c r="F333" s="13" t="str">
        <f aca="false">IF('Carga Vigilador'!F333="","",'Carga Vigilador'!F333)</f>
        <v/>
      </c>
      <c r="G333" s="13" t="str">
        <f aca="false">IF('Carga Vigilador'!G333="","",'Carga Vigilador'!G333)</f>
        <v/>
      </c>
      <c r="H333" s="14"/>
      <c r="I333" s="15"/>
      <c r="J333" s="14"/>
      <c r="K333" s="15"/>
      <c r="L333" s="16"/>
      <c r="M333" s="17"/>
      <c r="N333" s="18" t="str">
        <f aca="false">IF(B333="","",IF(J333="Sí","Multa aplicada",IF(J333="No","Sin multa",IF(H333="Sí","Descargo enviado","Pendiente"))))</f>
        <v/>
      </c>
    </row>
    <row r="334" customFormat="false" ht="15" hidden="false" customHeight="false" outlineLevel="0" collapsed="false">
      <c r="A334" s="6" t="str">
        <f aca="false">IF('Carga Vigilador'!A334="","",'Carga Vigilador'!A334)</f>
        <v/>
      </c>
      <c r="B334" s="11" t="str">
        <f aca="false">IF('Carga Vigilador'!B334="","",'Carga Vigilador'!B334)</f>
        <v/>
      </c>
      <c r="C334" s="12" t="str">
        <f aca="false">IF('Carga Vigilador'!C334="","",'Carga Vigilador'!C334)</f>
        <v/>
      </c>
      <c r="D334" s="13" t="str">
        <f aca="false">IF('Carga Vigilador'!D334="","",'Carga Vigilador'!D334)</f>
        <v/>
      </c>
      <c r="E334" s="6" t="str">
        <f aca="false">IF('Carga Vigilador'!E334="","",'Carga Vigilador'!E334)</f>
        <v/>
      </c>
      <c r="F334" s="13" t="str">
        <f aca="false">IF('Carga Vigilador'!F334="","",'Carga Vigilador'!F334)</f>
        <v/>
      </c>
      <c r="G334" s="13" t="str">
        <f aca="false">IF('Carga Vigilador'!G334="","",'Carga Vigilador'!G334)</f>
        <v/>
      </c>
      <c r="H334" s="14"/>
      <c r="I334" s="15"/>
      <c r="J334" s="14"/>
      <c r="K334" s="15"/>
      <c r="L334" s="16"/>
      <c r="M334" s="17"/>
      <c r="N334" s="18" t="str">
        <f aca="false">IF(B334="","",IF(J334="Sí","Multa aplicada",IF(J334="No","Sin multa",IF(H334="Sí","Descargo enviado","Pendiente"))))</f>
        <v/>
      </c>
    </row>
    <row r="335" customFormat="false" ht="15" hidden="false" customHeight="false" outlineLevel="0" collapsed="false">
      <c r="A335" s="6" t="str">
        <f aca="false">IF('Carga Vigilador'!A335="","",'Carga Vigilador'!A335)</f>
        <v/>
      </c>
      <c r="B335" s="11" t="str">
        <f aca="false">IF('Carga Vigilador'!B335="","",'Carga Vigilador'!B335)</f>
        <v/>
      </c>
      <c r="C335" s="12" t="str">
        <f aca="false">IF('Carga Vigilador'!C335="","",'Carga Vigilador'!C335)</f>
        <v/>
      </c>
      <c r="D335" s="13" t="str">
        <f aca="false">IF('Carga Vigilador'!D335="","",'Carga Vigilador'!D335)</f>
        <v/>
      </c>
      <c r="E335" s="6" t="str">
        <f aca="false">IF('Carga Vigilador'!E335="","",'Carga Vigilador'!E335)</f>
        <v/>
      </c>
      <c r="F335" s="13" t="str">
        <f aca="false">IF('Carga Vigilador'!F335="","",'Carga Vigilador'!F335)</f>
        <v/>
      </c>
      <c r="G335" s="13" t="str">
        <f aca="false">IF('Carga Vigilador'!G335="","",'Carga Vigilador'!G335)</f>
        <v/>
      </c>
      <c r="H335" s="14"/>
      <c r="I335" s="15"/>
      <c r="J335" s="14"/>
      <c r="K335" s="15"/>
      <c r="L335" s="16"/>
      <c r="M335" s="17"/>
      <c r="N335" s="18" t="str">
        <f aca="false">IF(B335="","",IF(J335="Sí","Multa aplicada",IF(J335="No","Sin multa",IF(H335="Sí","Descargo enviado","Pendiente"))))</f>
        <v/>
      </c>
    </row>
    <row r="336" customFormat="false" ht="15" hidden="false" customHeight="false" outlineLevel="0" collapsed="false">
      <c r="A336" s="6" t="str">
        <f aca="false">IF('Carga Vigilador'!A336="","",'Carga Vigilador'!A336)</f>
        <v/>
      </c>
      <c r="B336" s="11" t="str">
        <f aca="false">IF('Carga Vigilador'!B336="","",'Carga Vigilador'!B336)</f>
        <v/>
      </c>
      <c r="C336" s="12" t="str">
        <f aca="false">IF('Carga Vigilador'!C336="","",'Carga Vigilador'!C336)</f>
        <v/>
      </c>
      <c r="D336" s="13" t="str">
        <f aca="false">IF('Carga Vigilador'!D336="","",'Carga Vigilador'!D336)</f>
        <v/>
      </c>
      <c r="E336" s="6" t="str">
        <f aca="false">IF('Carga Vigilador'!E336="","",'Carga Vigilador'!E336)</f>
        <v/>
      </c>
      <c r="F336" s="13" t="str">
        <f aca="false">IF('Carga Vigilador'!F336="","",'Carga Vigilador'!F336)</f>
        <v/>
      </c>
      <c r="G336" s="13" t="str">
        <f aca="false">IF('Carga Vigilador'!G336="","",'Carga Vigilador'!G336)</f>
        <v/>
      </c>
      <c r="H336" s="14"/>
      <c r="I336" s="15"/>
      <c r="J336" s="14"/>
      <c r="K336" s="15"/>
      <c r="L336" s="16"/>
      <c r="M336" s="17"/>
      <c r="N336" s="18" t="str">
        <f aca="false">IF(B336="","",IF(J336="Sí","Multa aplicada",IF(J336="No","Sin multa",IF(H336="Sí","Descargo enviado","Pendiente"))))</f>
        <v/>
      </c>
    </row>
    <row r="337" customFormat="false" ht="15" hidden="false" customHeight="false" outlineLevel="0" collapsed="false">
      <c r="A337" s="6" t="str">
        <f aca="false">IF('Carga Vigilador'!A337="","",'Carga Vigilador'!A337)</f>
        <v/>
      </c>
      <c r="B337" s="11" t="str">
        <f aca="false">IF('Carga Vigilador'!B337="","",'Carga Vigilador'!B337)</f>
        <v/>
      </c>
      <c r="C337" s="12" t="str">
        <f aca="false">IF('Carga Vigilador'!C337="","",'Carga Vigilador'!C337)</f>
        <v/>
      </c>
      <c r="D337" s="13" t="str">
        <f aca="false">IF('Carga Vigilador'!D337="","",'Carga Vigilador'!D337)</f>
        <v/>
      </c>
      <c r="E337" s="6" t="str">
        <f aca="false">IF('Carga Vigilador'!E337="","",'Carga Vigilador'!E337)</f>
        <v/>
      </c>
      <c r="F337" s="13" t="str">
        <f aca="false">IF('Carga Vigilador'!F337="","",'Carga Vigilador'!F337)</f>
        <v/>
      </c>
      <c r="G337" s="13" t="str">
        <f aca="false">IF('Carga Vigilador'!G337="","",'Carga Vigilador'!G337)</f>
        <v/>
      </c>
      <c r="H337" s="14"/>
      <c r="I337" s="15"/>
      <c r="J337" s="14"/>
      <c r="K337" s="15"/>
      <c r="L337" s="16"/>
      <c r="M337" s="17"/>
      <c r="N337" s="18" t="str">
        <f aca="false">IF(B337="","",IF(J337="Sí","Multa aplicada",IF(J337="No","Sin multa",IF(H337="Sí","Descargo enviado","Pendiente"))))</f>
        <v/>
      </c>
    </row>
    <row r="338" customFormat="false" ht="15" hidden="false" customHeight="false" outlineLevel="0" collapsed="false">
      <c r="A338" s="6" t="str">
        <f aca="false">IF('Carga Vigilador'!A338="","",'Carga Vigilador'!A338)</f>
        <v/>
      </c>
      <c r="B338" s="11" t="str">
        <f aca="false">IF('Carga Vigilador'!B338="","",'Carga Vigilador'!B338)</f>
        <v/>
      </c>
      <c r="C338" s="12" t="str">
        <f aca="false">IF('Carga Vigilador'!C338="","",'Carga Vigilador'!C338)</f>
        <v/>
      </c>
      <c r="D338" s="13" t="str">
        <f aca="false">IF('Carga Vigilador'!D338="","",'Carga Vigilador'!D338)</f>
        <v/>
      </c>
      <c r="E338" s="6" t="str">
        <f aca="false">IF('Carga Vigilador'!E338="","",'Carga Vigilador'!E338)</f>
        <v/>
      </c>
      <c r="F338" s="13" t="str">
        <f aca="false">IF('Carga Vigilador'!F338="","",'Carga Vigilador'!F338)</f>
        <v/>
      </c>
      <c r="G338" s="13" t="str">
        <f aca="false">IF('Carga Vigilador'!G338="","",'Carga Vigilador'!G338)</f>
        <v/>
      </c>
      <c r="H338" s="14"/>
      <c r="I338" s="15"/>
      <c r="J338" s="14"/>
      <c r="K338" s="15"/>
      <c r="L338" s="16"/>
      <c r="M338" s="17"/>
      <c r="N338" s="18" t="str">
        <f aca="false">IF(B338="","",IF(J338="Sí","Multa aplicada",IF(J338="No","Sin multa",IF(H338="Sí","Descargo enviado","Pendiente"))))</f>
        <v/>
      </c>
    </row>
    <row r="339" customFormat="false" ht="15" hidden="false" customHeight="false" outlineLevel="0" collapsed="false">
      <c r="A339" s="6" t="str">
        <f aca="false">IF('Carga Vigilador'!A339="","",'Carga Vigilador'!A339)</f>
        <v/>
      </c>
      <c r="B339" s="11" t="str">
        <f aca="false">IF('Carga Vigilador'!B339="","",'Carga Vigilador'!B339)</f>
        <v/>
      </c>
      <c r="C339" s="12" t="str">
        <f aca="false">IF('Carga Vigilador'!C339="","",'Carga Vigilador'!C339)</f>
        <v/>
      </c>
      <c r="D339" s="13" t="str">
        <f aca="false">IF('Carga Vigilador'!D339="","",'Carga Vigilador'!D339)</f>
        <v/>
      </c>
      <c r="E339" s="6" t="str">
        <f aca="false">IF('Carga Vigilador'!E339="","",'Carga Vigilador'!E339)</f>
        <v/>
      </c>
      <c r="F339" s="13" t="str">
        <f aca="false">IF('Carga Vigilador'!F339="","",'Carga Vigilador'!F339)</f>
        <v/>
      </c>
      <c r="G339" s="13" t="str">
        <f aca="false">IF('Carga Vigilador'!G339="","",'Carga Vigilador'!G339)</f>
        <v/>
      </c>
      <c r="H339" s="14"/>
      <c r="I339" s="15"/>
      <c r="J339" s="14"/>
      <c r="K339" s="15"/>
      <c r="L339" s="16"/>
      <c r="M339" s="17"/>
      <c r="N339" s="18" t="str">
        <f aca="false">IF(B339="","",IF(J339="Sí","Multa aplicada",IF(J339="No","Sin multa",IF(H339="Sí","Descargo enviado","Pendiente"))))</f>
        <v/>
      </c>
    </row>
    <row r="340" customFormat="false" ht="15" hidden="false" customHeight="false" outlineLevel="0" collapsed="false">
      <c r="A340" s="6" t="str">
        <f aca="false">IF('Carga Vigilador'!A340="","",'Carga Vigilador'!A340)</f>
        <v/>
      </c>
      <c r="B340" s="11" t="str">
        <f aca="false">IF('Carga Vigilador'!B340="","",'Carga Vigilador'!B340)</f>
        <v/>
      </c>
      <c r="C340" s="12" t="str">
        <f aca="false">IF('Carga Vigilador'!C340="","",'Carga Vigilador'!C340)</f>
        <v/>
      </c>
      <c r="D340" s="13" t="str">
        <f aca="false">IF('Carga Vigilador'!D340="","",'Carga Vigilador'!D340)</f>
        <v/>
      </c>
      <c r="E340" s="6" t="str">
        <f aca="false">IF('Carga Vigilador'!E340="","",'Carga Vigilador'!E340)</f>
        <v/>
      </c>
      <c r="F340" s="13" t="str">
        <f aca="false">IF('Carga Vigilador'!F340="","",'Carga Vigilador'!F340)</f>
        <v/>
      </c>
      <c r="G340" s="13" t="str">
        <f aca="false">IF('Carga Vigilador'!G340="","",'Carga Vigilador'!G340)</f>
        <v/>
      </c>
      <c r="H340" s="14"/>
      <c r="I340" s="15"/>
      <c r="J340" s="14"/>
      <c r="K340" s="15"/>
      <c r="L340" s="16"/>
      <c r="M340" s="17"/>
      <c r="N340" s="18" t="str">
        <f aca="false">IF(B340="","",IF(J340="Sí","Multa aplicada",IF(J340="No","Sin multa",IF(H340="Sí","Descargo enviado","Pendiente"))))</f>
        <v/>
      </c>
    </row>
    <row r="341" customFormat="false" ht="15" hidden="false" customHeight="false" outlineLevel="0" collapsed="false">
      <c r="A341" s="6" t="str">
        <f aca="false">IF('Carga Vigilador'!A341="","",'Carga Vigilador'!A341)</f>
        <v/>
      </c>
      <c r="B341" s="11" t="str">
        <f aca="false">IF('Carga Vigilador'!B341="","",'Carga Vigilador'!B341)</f>
        <v/>
      </c>
      <c r="C341" s="12" t="str">
        <f aca="false">IF('Carga Vigilador'!C341="","",'Carga Vigilador'!C341)</f>
        <v/>
      </c>
      <c r="D341" s="13" t="str">
        <f aca="false">IF('Carga Vigilador'!D341="","",'Carga Vigilador'!D341)</f>
        <v/>
      </c>
      <c r="E341" s="6" t="str">
        <f aca="false">IF('Carga Vigilador'!E341="","",'Carga Vigilador'!E341)</f>
        <v/>
      </c>
      <c r="F341" s="13" t="str">
        <f aca="false">IF('Carga Vigilador'!F341="","",'Carga Vigilador'!F341)</f>
        <v/>
      </c>
      <c r="G341" s="13" t="str">
        <f aca="false">IF('Carga Vigilador'!G341="","",'Carga Vigilador'!G341)</f>
        <v/>
      </c>
      <c r="H341" s="14"/>
      <c r="I341" s="15"/>
      <c r="J341" s="14"/>
      <c r="K341" s="15"/>
      <c r="L341" s="16"/>
      <c r="M341" s="17"/>
      <c r="N341" s="18" t="str">
        <f aca="false">IF(B341="","",IF(J341="Sí","Multa aplicada",IF(J341="No","Sin multa",IF(H341="Sí","Descargo enviado","Pendiente"))))</f>
        <v/>
      </c>
    </row>
    <row r="342" customFormat="false" ht="15" hidden="false" customHeight="false" outlineLevel="0" collapsed="false">
      <c r="A342" s="6" t="str">
        <f aca="false">IF('Carga Vigilador'!A342="","",'Carga Vigilador'!A342)</f>
        <v/>
      </c>
      <c r="B342" s="11" t="str">
        <f aca="false">IF('Carga Vigilador'!B342="","",'Carga Vigilador'!B342)</f>
        <v/>
      </c>
      <c r="C342" s="12" t="str">
        <f aca="false">IF('Carga Vigilador'!C342="","",'Carga Vigilador'!C342)</f>
        <v/>
      </c>
      <c r="D342" s="13" t="str">
        <f aca="false">IF('Carga Vigilador'!D342="","",'Carga Vigilador'!D342)</f>
        <v/>
      </c>
      <c r="E342" s="6" t="str">
        <f aca="false">IF('Carga Vigilador'!E342="","",'Carga Vigilador'!E342)</f>
        <v/>
      </c>
      <c r="F342" s="13" t="str">
        <f aca="false">IF('Carga Vigilador'!F342="","",'Carga Vigilador'!F342)</f>
        <v/>
      </c>
      <c r="G342" s="13" t="str">
        <f aca="false">IF('Carga Vigilador'!G342="","",'Carga Vigilador'!G342)</f>
        <v/>
      </c>
      <c r="H342" s="14"/>
      <c r="I342" s="15"/>
      <c r="J342" s="14"/>
      <c r="K342" s="15"/>
      <c r="L342" s="16"/>
      <c r="M342" s="17"/>
      <c r="N342" s="18" t="str">
        <f aca="false">IF(B342="","",IF(J342="Sí","Multa aplicada",IF(J342="No","Sin multa",IF(H342="Sí","Descargo enviado","Pendiente"))))</f>
        <v/>
      </c>
    </row>
    <row r="343" customFormat="false" ht="15" hidden="false" customHeight="false" outlineLevel="0" collapsed="false">
      <c r="A343" s="6" t="str">
        <f aca="false">IF('Carga Vigilador'!A343="","",'Carga Vigilador'!A343)</f>
        <v/>
      </c>
      <c r="B343" s="11" t="str">
        <f aca="false">IF('Carga Vigilador'!B343="","",'Carga Vigilador'!B343)</f>
        <v/>
      </c>
      <c r="C343" s="12" t="str">
        <f aca="false">IF('Carga Vigilador'!C343="","",'Carga Vigilador'!C343)</f>
        <v/>
      </c>
      <c r="D343" s="13" t="str">
        <f aca="false">IF('Carga Vigilador'!D343="","",'Carga Vigilador'!D343)</f>
        <v/>
      </c>
      <c r="E343" s="6" t="str">
        <f aca="false">IF('Carga Vigilador'!E343="","",'Carga Vigilador'!E343)</f>
        <v/>
      </c>
      <c r="F343" s="13" t="str">
        <f aca="false">IF('Carga Vigilador'!F343="","",'Carga Vigilador'!F343)</f>
        <v/>
      </c>
      <c r="G343" s="13" t="str">
        <f aca="false">IF('Carga Vigilador'!G343="","",'Carga Vigilador'!G343)</f>
        <v/>
      </c>
      <c r="H343" s="14"/>
      <c r="I343" s="15"/>
      <c r="J343" s="14"/>
      <c r="K343" s="15"/>
      <c r="L343" s="16"/>
      <c r="M343" s="17"/>
      <c r="N343" s="18" t="str">
        <f aca="false">IF(B343="","",IF(J343="Sí","Multa aplicada",IF(J343="No","Sin multa",IF(H343="Sí","Descargo enviado","Pendiente"))))</f>
        <v/>
      </c>
    </row>
    <row r="344" customFormat="false" ht="15" hidden="false" customHeight="false" outlineLevel="0" collapsed="false">
      <c r="A344" s="6" t="str">
        <f aca="false">IF('Carga Vigilador'!A344="","",'Carga Vigilador'!A344)</f>
        <v/>
      </c>
      <c r="B344" s="11" t="str">
        <f aca="false">IF('Carga Vigilador'!B344="","",'Carga Vigilador'!B344)</f>
        <v/>
      </c>
      <c r="C344" s="12" t="str">
        <f aca="false">IF('Carga Vigilador'!C344="","",'Carga Vigilador'!C344)</f>
        <v/>
      </c>
      <c r="D344" s="13" t="str">
        <f aca="false">IF('Carga Vigilador'!D344="","",'Carga Vigilador'!D344)</f>
        <v/>
      </c>
      <c r="E344" s="6" t="str">
        <f aca="false">IF('Carga Vigilador'!E344="","",'Carga Vigilador'!E344)</f>
        <v/>
      </c>
      <c r="F344" s="13" t="str">
        <f aca="false">IF('Carga Vigilador'!F344="","",'Carga Vigilador'!F344)</f>
        <v/>
      </c>
      <c r="G344" s="13" t="str">
        <f aca="false">IF('Carga Vigilador'!G344="","",'Carga Vigilador'!G344)</f>
        <v/>
      </c>
      <c r="H344" s="14"/>
      <c r="I344" s="15"/>
      <c r="J344" s="14"/>
      <c r="K344" s="15"/>
      <c r="L344" s="16"/>
      <c r="M344" s="17"/>
      <c r="N344" s="18" t="str">
        <f aca="false">IF(B344="","",IF(J344="Sí","Multa aplicada",IF(J344="No","Sin multa",IF(H344="Sí","Descargo enviado","Pendiente"))))</f>
        <v/>
      </c>
    </row>
    <row r="345" customFormat="false" ht="15" hidden="false" customHeight="false" outlineLevel="0" collapsed="false">
      <c r="A345" s="6" t="str">
        <f aca="false">IF('Carga Vigilador'!A345="","",'Carga Vigilador'!A345)</f>
        <v/>
      </c>
      <c r="B345" s="11" t="str">
        <f aca="false">IF('Carga Vigilador'!B345="","",'Carga Vigilador'!B345)</f>
        <v/>
      </c>
      <c r="C345" s="12" t="str">
        <f aca="false">IF('Carga Vigilador'!C345="","",'Carga Vigilador'!C345)</f>
        <v/>
      </c>
      <c r="D345" s="13" t="str">
        <f aca="false">IF('Carga Vigilador'!D345="","",'Carga Vigilador'!D345)</f>
        <v/>
      </c>
      <c r="E345" s="6" t="str">
        <f aca="false">IF('Carga Vigilador'!E345="","",'Carga Vigilador'!E345)</f>
        <v/>
      </c>
      <c r="F345" s="13" t="str">
        <f aca="false">IF('Carga Vigilador'!F345="","",'Carga Vigilador'!F345)</f>
        <v/>
      </c>
      <c r="G345" s="13" t="str">
        <f aca="false">IF('Carga Vigilador'!G345="","",'Carga Vigilador'!G345)</f>
        <v/>
      </c>
      <c r="H345" s="14"/>
      <c r="I345" s="15"/>
      <c r="J345" s="14"/>
      <c r="K345" s="15"/>
      <c r="L345" s="16"/>
      <c r="M345" s="17"/>
      <c r="N345" s="18" t="str">
        <f aca="false">IF(B345="","",IF(J345="Sí","Multa aplicada",IF(J345="No","Sin multa",IF(H345="Sí","Descargo enviado","Pendiente"))))</f>
        <v/>
      </c>
    </row>
    <row r="346" customFormat="false" ht="15" hidden="false" customHeight="false" outlineLevel="0" collapsed="false">
      <c r="A346" s="6" t="str">
        <f aca="false">IF('Carga Vigilador'!A346="","",'Carga Vigilador'!A346)</f>
        <v/>
      </c>
      <c r="B346" s="11" t="str">
        <f aca="false">IF('Carga Vigilador'!B346="","",'Carga Vigilador'!B346)</f>
        <v/>
      </c>
      <c r="C346" s="12" t="str">
        <f aca="false">IF('Carga Vigilador'!C346="","",'Carga Vigilador'!C346)</f>
        <v/>
      </c>
      <c r="D346" s="13" t="str">
        <f aca="false">IF('Carga Vigilador'!D346="","",'Carga Vigilador'!D346)</f>
        <v/>
      </c>
      <c r="E346" s="6" t="str">
        <f aca="false">IF('Carga Vigilador'!E346="","",'Carga Vigilador'!E346)</f>
        <v/>
      </c>
      <c r="F346" s="13" t="str">
        <f aca="false">IF('Carga Vigilador'!F346="","",'Carga Vigilador'!F346)</f>
        <v/>
      </c>
      <c r="G346" s="13" t="str">
        <f aca="false">IF('Carga Vigilador'!G346="","",'Carga Vigilador'!G346)</f>
        <v/>
      </c>
      <c r="H346" s="14"/>
      <c r="I346" s="15"/>
      <c r="J346" s="14"/>
      <c r="K346" s="15"/>
      <c r="L346" s="16"/>
      <c r="M346" s="17"/>
      <c r="N346" s="18" t="str">
        <f aca="false">IF(B346="","",IF(J346="Sí","Multa aplicada",IF(J346="No","Sin multa",IF(H346="Sí","Descargo enviado","Pendiente"))))</f>
        <v/>
      </c>
    </row>
    <row r="347" customFormat="false" ht="15" hidden="false" customHeight="false" outlineLevel="0" collapsed="false">
      <c r="A347" s="6" t="str">
        <f aca="false">IF('Carga Vigilador'!A347="","",'Carga Vigilador'!A347)</f>
        <v/>
      </c>
      <c r="B347" s="11" t="str">
        <f aca="false">IF('Carga Vigilador'!B347="","",'Carga Vigilador'!B347)</f>
        <v/>
      </c>
      <c r="C347" s="12" t="str">
        <f aca="false">IF('Carga Vigilador'!C347="","",'Carga Vigilador'!C347)</f>
        <v/>
      </c>
      <c r="D347" s="13" t="str">
        <f aca="false">IF('Carga Vigilador'!D347="","",'Carga Vigilador'!D347)</f>
        <v/>
      </c>
      <c r="E347" s="6" t="str">
        <f aca="false">IF('Carga Vigilador'!E347="","",'Carga Vigilador'!E347)</f>
        <v/>
      </c>
      <c r="F347" s="13" t="str">
        <f aca="false">IF('Carga Vigilador'!F347="","",'Carga Vigilador'!F347)</f>
        <v/>
      </c>
      <c r="G347" s="13" t="str">
        <f aca="false">IF('Carga Vigilador'!G347="","",'Carga Vigilador'!G347)</f>
        <v/>
      </c>
      <c r="H347" s="14"/>
      <c r="I347" s="15"/>
      <c r="J347" s="14"/>
      <c r="K347" s="15"/>
      <c r="L347" s="16"/>
      <c r="M347" s="17"/>
      <c r="N347" s="18" t="str">
        <f aca="false">IF(B347="","",IF(J347="Sí","Multa aplicada",IF(J347="No","Sin multa",IF(H347="Sí","Descargo enviado","Pendiente"))))</f>
        <v/>
      </c>
    </row>
    <row r="348" customFormat="false" ht="15" hidden="false" customHeight="false" outlineLevel="0" collapsed="false">
      <c r="A348" s="6" t="str">
        <f aca="false">IF('Carga Vigilador'!A348="","",'Carga Vigilador'!A348)</f>
        <v/>
      </c>
      <c r="B348" s="11" t="str">
        <f aca="false">IF('Carga Vigilador'!B348="","",'Carga Vigilador'!B348)</f>
        <v/>
      </c>
      <c r="C348" s="12" t="str">
        <f aca="false">IF('Carga Vigilador'!C348="","",'Carga Vigilador'!C348)</f>
        <v/>
      </c>
      <c r="D348" s="13" t="str">
        <f aca="false">IF('Carga Vigilador'!D348="","",'Carga Vigilador'!D348)</f>
        <v/>
      </c>
      <c r="E348" s="6" t="str">
        <f aca="false">IF('Carga Vigilador'!E348="","",'Carga Vigilador'!E348)</f>
        <v/>
      </c>
      <c r="F348" s="13" t="str">
        <f aca="false">IF('Carga Vigilador'!F348="","",'Carga Vigilador'!F348)</f>
        <v/>
      </c>
      <c r="G348" s="13" t="str">
        <f aca="false">IF('Carga Vigilador'!G348="","",'Carga Vigilador'!G348)</f>
        <v/>
      </c>
      <c r="H348" s="14"/>
      <c r="I348" s="15"/>
      <c r="J348" s="14"/>
      <c r="K348" s="15"/>
      <c r="L348" s="16"/>
      <c r="M348" s="17"/>
      <c r="N348" s="18" t="str">
        <f aca="false">IF(B348="","",IF(J348="Sí","Multa aplicada",IF(J348="No","Sin multa",IF(H348="Sí","Descargo enviado","Pendiente"))))</f>
        <v/>
      </c>
    </row>
    <row r="349" customFormat="false" ht="15" hidden="false" customHeight="false" outlineLevel="0" collapsed="false">
      <c r="A349" s="6" t="str">
        <f aca="false">IF('Carga Vigilador'!A349="","",'Carga Vigilador'!A349)</f>
        <v/>
      </c>
      <c r="B349" s="11" t="str">
        <f aca="false">IF('Carga Vigilador'!B349="","",'Carga Vigilador'!B349)</f>
        <v/>
      </c>
      <c r="C349" s="12" t="str">
        <f aca="false">IF('Carga Vigilador'!C349="","",'Carga Vigilador'!C349)</f>
        <v/>
      </c>
      <c r="D349" s="13" t="str">
        <f aca="false">IF('Carga Vigilador'!D349="","",'Carga Vigilador'!D349)</f>
        <v/>
      </c>
      <c r="E349" s="6" t="str">
        <f aca="false">IF('Carga Vigilador'!E349="","",'Carga Vigilador'!E349)</f>
        <v/>
      </c>
      <c r="F349" s="13" t="str">
        <f aca="false">IF('Carga Vigilador'!F349="","",'Carga Vigilador'!F349)</f>
        <v/>
      </c>
      <c r="G349" s="13" t="str">
        <f aca="false">IF('Carga Vigilador'!G349="","",'Carga Vigilador'!G349)</f>
        <v/>
      </c>
      <c r="H349" s="14"/>
      <c r="I349" s="15"/>
      <c r="J349" s="14"/>
      <c r="K349" s="15"/>
      <c r="L349" s="16"/>
      <c r="M349" s="17"/>
      <c r="N349" s="18" t="str">
        <f aca="false">IF(B349="","",IF(J349="Sí","Multa aplicada",IF(J349="No","Sin multa",IF(H349="Sí","Descargo enviado","Pendiente"))))</f>
        <v/>
      </c>
    </row>
    <row r="350" customFormat="false" ht="15" hidden="false" customHeight="false" outlineLevel="0" collapsed="false">
      <c r="A350" s="6" t="str">
        <f aca="false">IF('Carga Vigilador'!A350="","",'Carga Vigilador'!A350)</f>
        <v/>
      </c>
      <c r="B350" s="11" t="str">
        <f aca="false">IF('Carga Vigilador'!B350="","",'Carga Vigilador'!B350)</f>
        <v/>
      </c>
      <c r="C350" s="12" t="str">
        <f aca="false">IF('Carga Vigilador'!C350="","",'Carga Vigilador'!C350)</f>
        <v/>
      </c>
      <c r="D350" s="13" t="str">
        <f aca="false">IF('Carga Vigilador'!D350="","",'Carga Vigilador'!D350)</f>
        <v/>
      </c>
      <c r="E350" s="6" t="str">
        <f aca="false">IF('Carga Vigilador'!E350="","",'Carga Vigilador'!E350)</f>
        <v/>
      </c>
      <c r="F350" s="13" t="str">
        <f aca="false">IF('Carga Vigilador'!F350="","",'Carga Vigilador'!F350)</f>
        <v/>
      </c>
      <c r="G350" s="13" t="str">
        <f aca="false">IF('Carga Vigilador'!G350="","",'Carga Vigilador'!G350)</f>
        <v/>
      </c>
      <c r="H350" s="14"/>
      <c r="I350" s="15"/>
      <c r="J350" s="14"/>
      <c r="K350" s="15"/>
      <c r="L350" s="16"/>
      <c r="M350" s="17"/>
      <c r="N350" s="18" t="str">
        <f aca="false">IF(B350="","",IF(J350="Sí","Multa aplicada",IF(J350="No","Sin multa",IF(H350="Sí","Descargo enviado","Pendiente"))))</f>
        <v/>
      </c>
    </row>
    <row r="351" customFormat="false" ht="15" hidden="false" customHeight="false" outlineLevel="0" collapsed="false">
      <c r="A351" s="6" t="str">
        <f aca="false">IF('Carga Vigilador'!A351="","",'Carga Vigilador'!A351)</f>
        <v/>
      </c>
      <c r="B351" s="11" t="str">
        <f aca="false">IF('Carga Vigilador'!B351="","",'Carga Vigilador'!B351)</f>
        <v/>
      </c>
      <c r="C351" s="12" t="str">
        <f aca="false">IF('Carga Vigilador'!C351="","",'Carga Vigilador'!C351)</f>
        <v/>
      </c>
      <c r="D351" s="13" t="str">
        <f aca="false">IF('Carga Vigilador'!D351="","",'Carga Vigilador'!D351)</f>
        <v/>
      </c>
      <c r="E351" s="6" t="str">
        <f aca="false">IF('Carga Vigilador'!E351="","",'Carga Vigilador'!E351)</f>
        <v/>
      </c>
      <c r="F351" s="13" t="str">
        <f aca="false">IF('Carga Vigilador'!F351="","",'Carga Vigilador'!F351)</f>
        <v/>
      </c>
      <c r="G351" s="13" t="str">
        <f aca="false">IF('Carga Vigilador'!G351="","",'Carga Vigilador'!G351)</f>
        <v/>
      </c>
      <c r="H351" s="14"/>
      <c r="I351" s="15"/>
      <c r="J351" s="14"/>
      <c r="K351" s="15"/>
      <c r="L351" s="16"/>
      <c r="M351" s="17"/>
      <c r="N351" s="18" t="str">
        <f aca="false">IF(B351="","",IF(J351="Sí","Multa aplicada",IF(J351="No","Sin multa",IF(H351="Sí","Descargo enviado","Pendiente"))))</f>
        <v/>
      </c>
    </row>
    <row r="352" customFormat="false" ht="15" hidden="false" customHeight="false" outlineLevel="0" collapsed="false">
      <c r="A352" s="6" t="str">
        <f aca="false">IF('Carga Vigilador'!A352="","",'Carga Vigilador'!A352)</f>
        <v/>
      </c>
      <c r="B352" s="11" t="str">
        <f aca="false">IF('Carga Vigilador'!B352="","",'Carga Vigilador'!B352)</f>
        <v/>
      </c>
      <c r="C352" s="12" t="str">
        <f aca="false">IF('Carga Vigilador'!C352="","",'Carga Vigilador'!C352)</f>
        <v/>
      </c>
      <c r="D352" s="13" t="str">
        <f aca="false">IF('Carga Vigilador'!D352="","",'Carga Vigilador'!D352)</f>
        <v/>
      </c>
      <c r="E352" s="6" t="str">
        <f aca="false">IF('Carga Vigilador'!E352="","",'Carga Vigilador'!E352)</f>
        <v/>
      </c>
      <c r="F352" s="13" t="str">
        <f aca="false">IF('Carga Vigilador'!F352="","",'Carga Vigilador'!F352)</f>
        <v/>
      </c>
      <c r="G352" s="13" t="str">
        <f aca="false">IF('Carga Vigilador'!G352="","",'Carga Vigilador'!G352)</f>
        <v/>
      </c>
      <c r="H352" s="14"/>
      <c r="I352" s="15"/>
      <c r="J352" s="14"/>
      <c r="K352" s="15"/>
      <c r="L352" s="16"/>
      <c r="M352" s="17"/>
      <c r="N352" s="18" t="str">
        <f aca="false">IF(B352="","",IF(J352="Sí","Multa aplicada",IF(J352="No","Sin multa",IF(H352="Sí","Descargo enviado","Pendiente"))))</f>
        <v/>
      </c>
    </row>
    <row r="353" customFormat="false" ht="15" hidden="false" customHeight="false" outlineLevel="0" collapsed="false">
      <c r="A353" s="6" t="str">
        <f aca="false">IF('Carga Vigilador'!A353="","",'Carga Vigilador'!A353)</f>
        <v/>
      </c>
      <c r="B353" s="11" t="str">
        <f aca="false">IF('Carga Vigilador'!B353="","",'Carga Vigilador'!B353)</f>
        <v/>
      </c>
      <c r="C353" s="12" t="str">
        <f aca="false">IF('Carga Vigilador'!C353="","",'Carga Vigilador'!C353)</f>
        <v/>
      </c>
      <c r="D353" s="13" t="str">
        <f aca="false">IF('Carga Vigilador'!D353="","",'Carga Vigilador'!D353)</f>
        <v/>
      </c>
      <c r="E353" s="6" t="str">
        <f aca="false">IF('Carga Vigilador'!E353="","",'Carga Vigilador'!E353)</f>
        <v/>
      </c>
      <c r="F353" s="13" t="str">
        <f aca="false">IF('Carga Vigilador'!F353="","",'Carga Vigilador'!F353)</f>
        <v/>
      </c>
      <c r="G353" s="13" t="str">
        <f aca="false">IF('Carga Vigilador'!G353="","",'Carga Vigilador'!G353)</f>
        <v/>
      </c>
      <c r="H353" s="14"/>
      <c r="I353" s="15"/>
      <c r="J353" s="14"/>
      <c r="K353" s="15"/>
      <c r="L353" s="16"/>
      <c r="M353" s="17"/>
      <c r="N353" s="18" t="str">
        <f aca="false">IF(B353="","",IF(J353="Sí","Multa aplicada",IF(J353="No","Sin multa",IF(H353="Sí","Descargo enviado","Pendiente"))))</f>
        <v/>
      </c>
    </row>
    <row r="354" customFormat="false" ht="15" hidden="false" customHeight="false" outlineLevel="0" collapsed="false">
      <c r="A354" s="6" t="str">
        <f aca="false">IF('Carga Vigilador'!A354="","",'Carga Vigilador'!A354)</f>
        <v/>
      </c>
      <c r="B354" s="11" t="str">
        <f aca="false">IF('Carga Vigilador'!B354="","",'Carga Vigilador'!B354)</f>
        <v/>
      </c>
      <c r="C354" s="12" t="str">
        <f aca="false">IF('Carga Vigilador'!C354="","",'Carga Vigilador'!C354)</f>
        <v/>
      </c>
      <c r="D354" s="13" t="str">
        <f aca="false">IF('Carga Vigilador'!D354="","",'Carga Vigilador'!D354)</f>
        <v/>
      </c>
      <c r="E354" s="6" t="str">
        <f aca="false">IF('Carga Vigilador'!E354="","",'Carga Vigilador'!E354)</f>
        <v/>
      </c>
      <c r="F354" s="13" t="str">
        <f aca="false">IF('Carga Vigilador'!F354="","",'Carga Vigilador'!F354)</f>
        <v/>
      </c>
      <c r="G354" s="13" t="str">
        <f aca="false">IF('Carga Vigilador'!G354="","",'Carga Vigilador'!G354)</f>
        <v/>
      </c>
      <c r="H354" s="14"/>
      <c r="I354" s="15"/>
      <c r="J354" s="14"/>
      <c r="K354" s="15"/>
      <c r="L354" s="16"/>
      <c r="M354" s="17"/>
      <c r="N354" s="18" t="str">
        <f aca="false">IF(B354="","",IF(J354="Sí","Multa aplicada",IF(J354="No","Sin multa",IF(H354="Sí","Descargo enviado","Pendiente"))))</f>
        <v/>
      </c>
    </row>
    <row r="355" customFormat="false" ht="15" hidden="false" customHeight="false" outlineLevel="0" collapsed="false">
      <c r="A355" s="6" t="str">
        <f aca="false">IF('Carga Vigilador'!A355="","",'Carga Vigilador'!A355)</f>
        <v/>
      </c>
      <c r="B355" s="11" t="str">
        <f aca="false">IF('Carga Vigilador'!B355="","",'Carga Vigilador'!B355)</f>
        <v/>
      </c>
      <c r="C355" s="12" t="str">
        <f aca="false">IF('Carga Vigilador'!C355="","",'Carga Vigilador'!C355)</f>
        <v/>
      </c>
      <c r="D355" s="13" t="str">
        <f aca="false">IF('Carga Vigilador'!D355="","",'Carga Vigilador'!D355)</f>
        <v/>
      </c>
      <c r="E355" s="6" t="str">
        <f aca="false">IF('Carga Vigilador'!E355="","",'Carga Vigilador'!E355)</f>
        <v/>
      </c>
      <c r="F355" s="13" t="str">
        <f aca="false">IF('Carga Vigilador'!F355="","",'Carga Vigilador'!F355)</f>
        <v/>
      </c>
      <c r="G355" s="13" t="str">
        <f aca="false">IF('Carga Vigilador'!G355="","",'Carga Vigilador'!G355)</f>
        <v/>
      </c>
      <c r="H355" s="14"/>
      <c r="I355" s="15"/>
      <c r="J355" s="14"/>
      <c r="K355" s="15"/>
      <c r="L355" s="16"/>
      <c r="M355" s="17"/>
      <c r="N355" s="18" t="str">
        <f aca="false">IF(B355="","",IF(J355="Sí","Multa aplicada",IF(J355="No","Sin multa",IF(H355="Sí","Descargo enviado","Pendiente"))))</f>
        <v/>
      </c>
    </row>
    <row r="356" customFormat="false" ht="15" hidden="false" customHeight="false" outlineLevel="0" collapsed="false">
      <c r="A356" s="6" t="str">
        <f aca="false">IF('Carga Vigilador'!A356="","",'Carga Vigilador'!A356)</f>
        <v/>
      </c>
      <c r="B356" s="11" t="str">
        <f aca="false">IF('Carga Vigilador'!B356="","",'Carga Vigilador'!B356)</f>
        <v/>
      </c>
      <c r="C356" s="12" t="str">
        <f aca="false">IF('Carga Vigilador'!C356="","",'Carga Vigilador'!C356)</f>
        <v/>
      </c>
      <c r="D356" s="13" t="str">
        <f aca="false">IF('Carga Vigilador'!D356="","",'Carga Vigilador'!D356)</f>
        <v/>
      </c>
      <c r="E356" s="6" t="str">
        <f aca="false">IF('Carga Vigilador'!E356="","",'Carga Vigilador'!E356)</f>
        <v/>
      </c>
      <c r="F356" s="13" t="str">
        <f aca="false">IF('Carga Vigilador'!F356="","",'Carga Vigilador'!F356)</f>
        <v/>
      </c>
      <c r="G356" s="13" t="str">
        <f aca="false">IF('Carga Vigilador'!G356="","",'Carga Vigilador'!G356)</f>
        <v/>
      </c>
      <c r="H356" s="14"/>
      <c r="I356" s="15"/>
      <c r="J356" s="14"/>
      <c r="K356" s="15"/>
      <c r="L356" s="16"/>
      <c r="M356" s="17"/>
      <c r="N356" s="18" t="str">
        <f aca="false">IF(B356="","",IF(J356="Sí","Multa aplicada",IF(J356="No","Sin multa",IF(H356="Sí","Descargo enviado","Pendiente"))))</f>
        <v/>
      </c>
    </row>
    <row r="357" customFormat="false" ht="15" hidden="false" customHeight="false" outlineLevel="0" collapsed="false">
      <c r="A357" s="6" t="str">
        <f aca="false">IF('Carga Vigilador'!A357="","",'Carga Vigilador'!A357)</f>
        <v/>
      </c>
      <c r="B357" s="11" t="str">
        <f aca="false">IF('Carga Vigilador'!B357="","",'Carga Vigilador'!B357)</f>
        <v/>
      </c>
      <c r="C357" s="12" t="str">
        <f aca="false">IF('Carga Vigilador'!C357="","",'Carga Vigilador'!C357)</f>
        <v/>
      </c>
      <c r="D357" s="13" t="str">
        <f aca="false">IF('Carga Vigilador'!D357="","",'Carga Vigilador'!D357)</f>
        <v/>
      </c>
      <c r="E357" s="6" t="str">
        <f aca="false">IF('Carga Vigilador'!E357="","",'Carga Vigilador'!E357)</f>
        <v/>
      </c>
      <c r="F357" s="13" t="str">
        <f aca="false">IF('Carga Vigilador'!F357="","",'Carga Vigilador'!F357)</f>
        <v/>
      </c>
      <c r="G357" s="13" t="str">
        <f aca="false">IF('Carga Vigilador'!G357="","",'Carga Vigilador'!G357)</f>
        <v/>
      </c>
      <c r="H357" s="14"/>
      <c r="I357" s="15"/>
      <c r="J357" s="14"/>
      <c r="K357" s="15"/>
      <c r="L357" s="16"/>
      <c r="M357" s="17"/>
      <c r="N357" s="18" t="str">
        <f aca="false">IF(B357="","",IF(J357="Sí","Multa aplicada",IF(J357="No","Sin multa",IF(H357="Sí","Descargo enviado","Pendiente"))))</f>
        <v/>
      </c>
    </row>
    <row r="358" customFormat="false" ht="15" hidden="false" customHeight="false" outlineLevel="0" collapsed="false">
      <c r="A358" s="6" t="str">
        <f aca="false">IF('Carga Vigilador'!A358="","",'Carga Vigilador'!A358)</f>
        <v/>
      </c>
      <c r="B358" s="11" t="str">
        <f aca="false">IF('Carga Vigilador'!B358="","",'Carga Vigilador'!B358)</f>
        <v/>
      </c>
      <c r="C358" s="12" t="str">
        <f aca="false">IF('Carga Vigilador'!C358="","",'Carga Vigilador'!C358)</f>
        <v/>
      </c>
      <c r="D358" s="13" t="str">
        <f aca="false">IF('Carga Vigilador'!D358="","",'Carga Vigilador'!D358)</f>
        <v/>
      </c>
      <c r="E358" s="6" t="str">
        <f aca="false">IF('Carga Vigilador'!E358="","",'Carga Vigilador'!E358)</f>
        <v/>
      </c>
      <c r="F358" s="13" t="str">
        <f aca="false">IF('Carga Vigilador'!F358="","",'Carga Vigilador'!F358)</f>
        <v/>
      </c>
      <c r="G358" s="13" t="str">
        <f aca="false">IF('Carga Vigilador'!G358="","",'Carga Vigilador'!G358)</f>
        <v/>
      </c>
      <c r="H358" s="14"/>
      <c r="I358" s="15"/>
      <c r="J358" s="14"/>
      <c r="K358" s="15"/>
      <c r="L358" s="16"/>
      <c r="M358" s="17"/>
      <c r="N358" s="18" t="str">
        <f aca="false">IF(B358="","",IF(J358="Sí","Multa aplicada",IF(J358="No","Sin multa",IF(H358="Sí","Descargo enviado","Pendiente"))))</f>
        <v/>
      </c>
    </row>
    <row r="359" customFormat="false" ht="15" hidden="false" customHeight="false" outlineLevel="0" collapsed="false">
      <c r="A359" s="6" t="str">
        <f aca="false">IF('Carga Vigilador'!A359="","",'Carga Vigilador'!A359)</f>
        <v/>
      </c>
      <c r="B359" s="11" t="str">
        <f aca="false">IF('Carga Vigilador'!B359="","",'Carga Vigilador'!B359)</f>
        <v/>
      </c>
      <c r="C359" s="12" t="str">
        <f aca="false">IF('Carga Vigilador'!C359="","",'Carga Vigilador'!C359)</f>
        <v/>
      </c>
      <c r="D359" s="13" t="str">
        <f aca="false">IF('Carga Vigilador'!D359="","",'Carga Vigilador'!D359)</f>
        <v/>
      </c>
      <c r="E359" s="6" t="str">
        <f aca="false">IF('Carga Vigilador'!E359="","",'Carga Vigilador'!E359)</f>
        <v/>
      </c>
      <c r="F359" s="13" t="str">
        <f aca="false">IF('Carga Vigilador'!F359="","",'Carga Vigilador'!F359)</f>
        <v/>
      </c>
      <c r="G359" s="13" t="str">
        <f aca="false">IF('Carga Vigilador'!G359="","",'Carga Vigilador'!G359)</f>
        <v/>
      </c>
      <c r="H359" s="14"/>
      <c r="I359" s="15"/>
      <c r="J359" s="14"/>
      <c r="K359" s="15"/>
      <c r="L359" s="16"/>
      <c r="M359" s="17"/>
      <c r="N359" s="18" t="str">
        <f aca="false">IF(B359="","",IF(J359="Sí","Multa aplicada",IF(J359="No","Sin multa",IF(H359="Sí","Descargo enviado","Pendiente"))))</f>
        <v/>
      </c>
    </row>
    <row r="360" customFormat="false" ht="15" hidden="false" customHeight="false" outlineLevel="0" collapsed="false">
      <c r="A360" s="6" t="str">
        <f aca="false">IF('Carga Vigilador'!A360="","",'Carga Vigilador'!A360)</f>
        <v/>
      </c>
      <c r="B360" s="11" t="str">
        <f aca="false">IF('Carga Vigilador'!B360="","",'Carga Vigilador'!B360)</f>
        <v/>
      </c>
      <c r="C360" s="12" t="str">
        <f aca="false">IF('Carga Vigilador'!C360="","",'Carga Vigilador'!C360)</f>
        <v/>
      </c>
      <c r="D360" s="13" t="str">
        <f aca="false">IF('Carga Vigilador'!D360="","",'Carga Vigilador'!D360)</f>
        <v/>
      </c>
      <c r="E360" s="6" t="str">
        <f aca="false">IF('Carga Vigilador'!E360="","",'Carga Vigilador'!E360)</f>
        <v/>
      </c>
      <c r="F360" s="13" t="str">
        <f aca="false">IF('Carga Vigilador'!F360="","",'Carga Vigilador'!F360)</f>
        <v/>
      </c>
      <c r="G360" s="13" t="str">
        <f aca="false">IF('Carga Vigilador'!G360="","",'Carga Vigilador'!G360)</f>
        <v/>
      </c>
      <c r="H360" s="14"/>
      <c r="I360" s="15"/>
      <c r="J360" s="14"/>
      <c r="K360" s="15"/>
      <c r="L360" s="16"/>
      <c r="M360" s="17"/>
      <c r="N360" s="18" t="str">
        <f aca="false">IF(B360="","",IF(J360="Sí","Multa aplicada",IF(J360="No","Sin multa",IF(H360="Sí","Descargo enviado","Pendiente"))))</f>
        <v/>
      </c>
    </row>
    <row r="361" customFormat="false" ht="15" hidden="false" customHeight="false" outlineLevel="0" collapsed="false">
      <c r="A361" s="6" t="str">
        <f aca="false">IF('Carga Vigilador'!A361="","",'Carga Vigilador'!A361)</f>
        <v/>
      </c>
      <c r="B361" s="11" t="str">
        <f aca="false">IF('Carga Vigilador'!B361="","",'Carga Vigilador'!B361)</f>
        <v/>
      </c>
      <c r="C361" s="12" t="str">
        <f aca="false">IF('Carga Vigilador'!C361="","",'Carga Vigilador'!C361)</f>
        <v/>
      </c>
      <c r="D361" s="13" t="str">
        <f aca="false">IF('Carga Vigilador'!D361="","",'Carga Vigilador'!D361)</f>
        <v/>
      </c>
      <c r="E361" s="6" t="str">
        <f aca="false">IF('Carga Vigilador'!E361="","",'Carga Vigilador'!E361)</f>
        <v/>
      </c>
      <c r="F361" s="13" t="str">
        <f aca="false">IF('Carga Vigilador'!F361="","",'Carga Vigilador'!F361)</f>
        <v/>
      </c>
      <c r="G361" s="13" t="str">
        <f aca="false">IF('Carga Vigilador'!G361="","",'Carga Vigilador'!G361)</f>
        <v/>
      </c>
      <c r="H361" s="14"/>
      <c r="I361" s="15"/>
      <c r="J361" s="14"/>
      <c r="K361" s="15"/>
      <c r="L361" s="16"/>
      <c r="M361" s="17"/>
      <c r="N361" s="18" t="str">
        <f aca="false">IF(B361="","",IF(J361="Sí","Multa aplicada",IF(J361="No","Sin multa",IF(H361="Sí","Descargo enviado","Pendiente"))))</f>
        <v/>
      </c>
    </row>
    <row r="362" customFormat="false" ht="15" hidden="false" customHeight="false" outlineLevel="0" collapsed="false">
      <c r="A362" s="6" t="str">
        <f aca="false">IF('Carga Vigilador'!A362="","",'Carga Vigilador'!A362)</f>
        <v/>
      </c>
      <c r="B362" s="11" t="str">
        <f aca="false">IF('Carga Vigilador'!B362="","",'Carga Vigilador'!B362)</f>
        <v/>
      </c>
      <c r="C362" s="12" t="str">
        <f aca="false">IF('Carga Vigilador'!C362="","",'Carga Vigilador'!C362)</f>
        <v/>
      </c>
      <c r="D362" s="13" t="str">
        <f aca="false">IF('Carga Vigilador'!D362="","",'Carga Vigilador'!D362)</f>
        <v/>
      </c>
      <c r="E362" s="6" t="str">
        <f aca="false">IF('Carga Vigilador'!E362="","",'Carga Vigilador'!E362)</f>
        <v/>
      </c>
      <c r="F362" s="13" t="str">
        <f aca="false">IF('Carga Vigilador'!F362="","",'Carga Vigilador'!F362)</f>
        <v/>
      </c>
      <c r="G362" s="13" t="str">
        <f aca="false">IF('Carga Vigilador'!G362="","",'Carga Vigilador'!G362)</f>
        <v/>
      </c>
      <c r="H362" s="14"/>
      <c r="I362" s="15"/>
      <c r="J362" s="14"/>
      <c r="K362" s="15"/>
      <c r="L362" s="16"/>
      <c r="M362" s="17"/>
      <c r="N362" s="18" t="str">
        <f aca="false">IF(B362="","",IF(J362="Sí","Multa aplicada",IF(J362="No","Sin multa",IF(H362="Sí","Descargo enviado","Pendiente"))))</f>
        <v/>
      </c>
    </row>
    <row r="363" customFormat="false" ht="15" hidden="false" customHeight="false" outlineLevel="0" collapsed="false">
      <c r="A363" s="6" t="str">
        <f aca="false">IF('Carga Vigilador'!A363="","",'Carga Vigilador'!A363)</f>
        <v/>
      </c>
      <c r="B363" s="11" t="str">
        <f aca="false">IF('Carga Vigilador'!B363="","",'Carga Vigilador'!B363)</f>
        <v/>
      </c>
      <c r="C363" s="12" t="str">
        <f aca="false">IF('Carga Vigilador'!C363="","",'Carga Vigilador'!C363)</f>
        <v/>
      </c>
      <c r="D363" s="13" t="str">
        <f aca="false">IF('Carga Vigilador'!D363="","",'Carga Vigilador'!D363)</f>
        <v/>
      </c>
      <c r="E363" s="6" t="str">
        <f aca="false">IF('Carga Vigilador'!E363="","",'Carga Vigilador'!E363)</f>
        <v/>
      </c>
      <c r="F363" s="13" t="str">
        <f aca="false">IF('Carga Vigilador'!F363="","",'Carga Vigilador'!F363)</f>
        <v/>
      </c>
      <c r="G363" s="13" t="str">
        <f aca="false">IF('Carga Vigilador'!G363="","",'Carga Vigilador'!G363)</f>
        <v/>
      </c>
      <c r="H363" s="14"/>
      <c r="I363" s="15"/>
      <c r="J363" s="14"/>
      <c r="K363" s="15"/>
      <c r="L363" s="16"/>
      <c r="M363" s="17"/>
      <c r="N363" s="18" t="str">
        <f aca="false">IF(B363="","",IF(J363="Sí","Multa aplicada",IF(J363="No","Sin multa",IF(H363="Sí","Descargo enviado","Pendiente"))))</f>
        <v/>
      </c>
    </row>
    <row r="364" customFormat="false" ht="15" hidden="false" customHeight="false" outlineLevel="0" collapsed="false">
      <c r="A364" s="6" t="str">
        <f aca="false">IF('Carga Vigilador'!A364="","",'Carga Vigilador'!A364)</f>
        <v/>
      </c>
      <c r="B364" s="11" t="str">
        <f aca="false">IF('Carga Vigilador'!B364="","",'Carga Vigilador'!B364)</f>
        <v/>
      </c>
      <c r="C364" s="12" t="str">
        <f aca="false">IF('Carga Vigilador'!C364="","",'Carga Vigilador'!C364)</f>
        <v/>
      </c>
      <c r="D364" s="13" t="str">
        <f aca="false">IF('Carga Vigilador'!D364="","",'Carga Vigilador'!D364)</f>
        <v/>
      </c>
      <c r="E364" s="6" t="str">
        <f aca="false">IF('Carga Vigilador'!E364="","",'Carga Vigilador'!E364)</f>
        <v/>
      </c>
      <c r="F364" s="13" t="str">
        <f aca="false">IF('Carga Vigilador'!F364="","",'Carga Vigilador'!F364)</f>
        <v/>
      </c>
      <c r="G364" s="13" t="str">
        <f aca="false">IF('Carga Vigilador'!G364="","",'Carga Vigilador'!G364)</f>
        <v/>
      </c>
      <c r="H364" s="14"/>
      <c r="I364" s="15"/>
      <c r="J364" s="14"/>
      <c r="K364" s="15"/>
      <c r="L364" s="16"/>
      <c r="M364" s="17"/>
      <c r="N364" s="18" t="str">
        <f aca="false">IF(B364="","",IF(J364="Sí","Multa aplicada",IF(J364="No","Sin multa",IF(H364="Sí","Descargo enviado","Pendiente"))))</f>
        <v/>
      </c>
    </row>
    <row r="365" customFormat="false" ht="15" hidden="false" customHeight="false" outlineLevel="0" collapsed="false">
      <c r="A365" s="6" t="str">
        <f aca="false">IF('Carga Vigilador'!A365="","",'Carga Vigilador'!A365)</f>
        <v/>
      </c>
      <c r="B365" s="11" t="str">
        <f aca="false">IF('Carga Vigilador'!B365="","",'Carga Vigilador'!B365)</f>
        <v/>
      </c>
      <c r="C365" s="12" t="str">
        <f aca="false">IF('Carga Vigilador'!C365="","",'Carga Vigilador'!C365)</f>
        <v/>
      </c>
      <c r="D365" s="13" t="str">
        <f aca="false">IF('Carga Vigilador'!D365="","",'Carga Vigilador'!D365)</f>
        <v/>
      </c>
      <c r="E365" s="6" t="str">
        <f aca="false">IF('Carga Vigilador'!E365="","",'Carga Vigilador'!E365)</f>
        <v/>
      </c>
      <c r="F365" s="13" t="str">
        <f aca="false">IF('Carga Vigilador'!F365="","",'Carga Vigilador'!F365)</f>
        <v/>
      </c>
      <c r="G365" s="13" t="str">
        <f aca="false">IF('Carga Vigilador'!G365="","",'Carga Vigilador'!G365)</f>
        <v/>
      </c>
      <c r="H365" s="14"/>
      <c r="I365" s="15"/>
      <c r="J365" s="14"/>
      <c r="K365" s="15"/>
      <c r="L365" s="16"/>
      <c r="M365" s="17"/>
      <c r="N365" s="18" t="str">
        <f aca="false">IF(B365="","",IF(J365="Sí","Multa aplicada",IF(J365="No","Sin multa",IF(H365="Sí","Descargo enviado","Pendiente"))))</f>
        <v/>
      </c>
    </row>
    <row r="366" customFormat="false" ht="15" hidden="false" customHeight="false" outlineLevel="0" collapsed="false">
      <c r="A366" s="6" t="str">
        <f aca="false">IF('Carga Vigilador'!A366="","",'Carga Vigilador'!A366)</f>
        <v/>
      </c>
      <c r="B366" s="11" t="str">
        <f aca="false">IF('Carga Vigilador'!B366="","",'Carga Vigilador'!B366)</f>
        <v/>
      </c>
      <c r="C366" s="12" t="str">
        <f aca="false">IF('Carga Vigilador'!C366="","",'Carga Vigilador'!C366)</f>
        <v/>
      </c>
      <c r="D366" s="13" t="str">
        <f aca="false">IF('Carga Vigilador'!D366="","",'Carga Vigilador'!D366)</f>
        <v/>
      </c>
      <c r="E366" s="6" t="str">
        <f aca="false">IF('Carga Vigilador'!E366="","",'Carga Vigilador'!E366)</f>
        <v/>
      </c>
      <c r="F366" s="13" t="str">
        <f aca="false">IF('Carga Vigilador'!F366="","",'Carga Vigilador'!F366)</f>
        <v/>
      </c>
      <c r="G366" s="13" t="str">
        <f aca="false">IF('Carga Vigilador'!G366="","",'Carga Vigilador'!G366)</f>
        <v/>
      </c>
      <c r="H366" s="14"/>
      <c r="I366" s="15"/>
      <c r="J366" s="14"/>
      <c r="K366" s="15"/>
      <c r="L366" s="16"/>
      <c r="M366" s="17"/>
      <c r="N366" s="18" t="str">
        <f aca="false">IF(B366="","",IF(J366="Sí","Multa aplicada",IF(J366="No","Sin multa",IF(H366="Sí","Descargo enviado","Pendiente"))))</f>
        <v/>
      </c>
    </row>
    <row r="367" customFormat="false" ht="15" hidden="false" customHeight="false" outlineLevel="0" collapsed="false">
      <c r="A367" s="6" t="str">
        <f aca="false">IF('Carga Vigilador'!A367="","",'Carga Vigilador'!A367)</f>
        <v/>
      </c>
      <c r="B367" s="11" t="str">
        <f aca="false">IF('Carga Vigilador'!B367="","",'Carga Vigilador'!B367)</f>
        <v/>
      </c>
      <c r="C367" s="12" t="str">
        <f aca="false">IF('Carga Vigilador'!C367="","",'Carga Vigilador'!C367)</f>
        <v/>
      </c>
      <c r="D367" s="13" t="str">
        <f aca="false">IF('Carga Vigilador'!D367="","",'Carga Vigilador'!D367)</f>
        <v/>
      </c>
      <c r="E367" s="6" t="str">
        <f aca="false">IF('Carga Vigilador'!E367="","",'Carga Vigilador'!E367)</f>
        <v/>
      </c>
      <c r="F367" s="13" t="str">
        <f aca="false">IF('Carga Vigilador'!F367="","",'Carga Vigilador'!F367)</f>
        <v/>
      </c>
      <c r="G367" s="13" t="str">
        <f aca="false">IF('Carga Vigilador'!G367="","",'Carga Vigilador'!G367)</f>
        <v/>
      </c>
      <c r="H367" s="14"/>
      <c r="I367" s="15"/>
      <c r="J367" s="14"/>
      <c r="K367" s="15"/>
      <c r="L367" s="16"/>
      <c r="M367" s="17"/>
      <c r="N367" s="18" t="str">
        <f aca="false">IF(B367="","",IF(J367="Sí","Multa aplicada",IF(J367="No","Sin multa",IF(H367="Sí","Descargo enviado","Pendiente"))))</f>
        <v/>
      </c>
    </row>
    <row r="368" customFormat="false" ht="15" hidden="false" customHeight="false" outlineLevel="0" collapsed="false">
      <c r="A368" s="6" t="str">
        <f aca="false">IF('Carga Vigilador'!A368="","",'Carga Vigilador'!A368)</f>
        <v/>
      </c>
      <c r="B368" s="11" t="str">
        <f aca="false">IF('Carga Vigilador'!B368="","",'Carga Vigilador'!B368)</f>
        <v/>
      </c>
      <c r="C368" s="12" t="str">
        <f aca="false">IF('Carga Vigilador'!C368="","",'Carga Vigilador'!C368)</f>
        <v/>
      </c>
      <c r="D368" s="13" t="str">
        <f aca="false">IF('Carga Vigilador'!D368="","",'Carga Vigilador'!D368)</f>
        <v/>
      </c>
      <c r="E368" s="6" t="str">
        <f aca="false">IF('Carga Vigilador'!E368="","",'Carga Vigilador'!E368)</f>
        <v/>
      </c>
      <c r="F368" s="13" t="str">
        <f aca="false">IF('Carga Vigilador'!F368="","",'Carga Vigilador'!F368)</f>
        <v/>
      </c>
      <c r="G368" s="13" t="str">
        <f aca="false">IF('Carga Vigilador'!G368="","",'Carga Vigilador'!G368)</f>
        <v/>
      </c>
      <c r="H368" s="14"/>
      <c r="I368" s="15"/>
      <c r="J368" s="14"/>
      <c r="K368" s="15"/>
      <c r="L368" s="16"/>
      <c r="M368" s="17"/>
      <c r="N368" s="18" t="str">
        <f aca="false">IF(B368="","",IF(J368="Sí","Multa aplicada",IF(J368="No","Sin multa",IF(H368="Sí","Descargo enviado","Pendiente"))))</f>
        <v/>
      </c>
    </row>
    <row r="369" customFormat="false" ht="15" hidden="false" customHeight="false" outlineLevel="0" collapsed="false">
      <c r="A369" s="6" t="str">
        <f aca="false">IF('Carga Vigilador'!A369="","",'Carga Vigilador'!A369)</f>
        <v/>
      </c>
      <c r="B369" s="11" t="str">
        <f aca="false">IF('Carga Vigilador'!B369="","",'Carga Vigilador'!B369)</f>
        <v/>
      </c>
      <c r="C369" s="12" t="str">
        <f aca="false">IF('Carga Vigilador'!C369="","",'Carga Vigilador'!C369)</f>
        <v/>
      </c>
      <c r="D369" s="13" t="str">
        <f aca="false">IF('Carga Vigilador'!D369="","",'Carga Vigilador'!D369)</f>
        <v/>
      </c>
      <c r="E369" s="6" t="str">
        <f aca="false">IF('Carga Vigilador'!E369="","",'Carga Vigilador'!E369)</f>
        <v/>
      </c>
      <c r="F369" s="13" t="str">
        <f aca="false">IF('Carga Vigilador'!F369="","",'Carga Vigilador'!F369)</f>
        <v/>
      </c>
      <c r="G369" s="13" t="str">
        <f aca="false">IF('Carga Vigilador'!G369="","",'Carga Vigilador'!G369)</f>
        <v/>
      </c>
      <c r="H369" s="14"/>
      <c r="I369" s="15"/>
      <c r="J369" s="14"/>
      <c r="K369" s="15"/>
      <c r="L369" s="16"/>
      <c r="M369" s="17"/>
      <c r="N369" s="18" t="str">
        <f aca="false">IF(B369="","",IF(J369="Sí","Multa aplicada",IF(J369="No","Sin multa",IF(H369="Sí","Descargo enviado","Pendiente"))))</f>
        <v/>
      </c>
    </row>
    <row r="370" customFormat="false" ht="15" hidden="false" customHeight="false" outlineLevel="0" collapsed="false">
      <c r="A370" s="6" t="str">
        <f aca="false">IF('Carga Vigilador'!A370="","",'Carga Vigilador'!A370)</f>
        <v/>
      </c>
      <c r="B370" s="11" t="str">
        <f aca="false">IF('Carga Vigilador'!B370="","",'Carga Vigilador'!B370)</f>
        <v/>
      </c>
      <c r="C370" s="12" t="str">
        <f aca="false">IF('Carga Vigilador'!C370="","",'Carga Vigilador'!C370)</f>
        <v/>
      </c>
      <c r="D370" s="13" t="str">
        <f aca="false">IF('Carga Vigilador'!D370="","",'Carga Vigilador'!D370)</f>
        <v/>
      </c>
      <c r="E370" s="6" t="str">
        <f aca="false">IF('Carga Vigilador'!E370="","",'Carga Vigilador'!E370)</f>
        <v/>
      </c>
      <c r="F370" s="13" t="str">
        <f aca="false">IF('Carga Vigilador'!F370="","",'Carga Vigilador'!F370)</f>
        <v/>
      </c>
      <c r="G370" s="13" t="str">
        <f aca="false">IF('Carga Vigilador'!G370="","",'Carga Vigilador'!G370)</f>
        <v/>
      </c>
      <c r="H370" s="14"/>
      <c r="I370" s="15"/>
      <c r="J370" s="14"/>
      <c r="K370" s="15"/>
      <c r="L370" s="16"/>
      <c r="M370" s="17"/>
      <c r="N370" s="18" t="str">
        <f aca="false">IF(B370="","",IF(J370="Sí","Multa aplicada",IF(J370="No","Sin multa",IF(H370="Sí","Descargo enviado","Pendiente"))))</f>
        <v/>
      </c>
    </row>
    <row r="371" customFormat="false" ht="15" hidden="false" customHeight="false" outlineLevel="0" collapsed="false">
      <c r="A371" s="6" t="str">
        <f aca="false">IF('Carga Vigilador'!A371="","",'Carga Vigilador'!A371)</f>
        <v/>
      </c>
      <c r="B371" s="11" t="str">
        <f aca="false">IF('Carga Vigilador'!B371="","",'Carga Vigilador'!B371)</f>
        <v/>
      </c>
      <c r="C371" s="12" t="str">
        <f aca="false">IF('Carga Vigilador'!C371="","",'Carga Vigilador'!C371)</f>
        <v/>
      </c>
      <c r="D371" s="13" t="str">
        <f aca="false">IF('Carga Vigilador'!D371="","",'Carga Vigilador'!D371)</f>
        <v/>
      </c>
      <c r="E371" s="6" t="str">
        <f aca="false">IF('Carga Vigilador'!E371="","",'Carga Vigilador'!E371)</f>
        <v/>
      </c>
      <c r="F371" s="13" t="str">
        <f aca="false">IF('Carga Vigilador'!F371="","",'Carga Vigilador'!F371)</f>
        <v/>
      </c>
      <c r="G371" s="13" t="str">
        <f aca="false">IF('Carga Vigilador'!G371="","",'Carga Vigilador'!G371)</f>
        <v/>
      </c>
      <c r="H371" s="14"/>
      <c r="I371" s="15"/>
      <c r="J371" s="14"/>
      <c r="K371" s="15"/>
      <c r="L371" s="16"/>
      <c r="M371" s="17"/>
      <c r="N371" s="18" t="str">
        <f aca="false">IF(B371="","",IF(J371="Sí","Multa aplicada",IF(J371="No","Sin multa",IF(H371="Sí","Descargo enviado","Pendiente"))))</f>
        <v/>
      </c>
    </row>
    <row r="372" customFormat="false" ht="15" hidden="false" customHeight="false" outlineLevel="0" collapsed="false">
      <c r="A372" s="6" t="str">
        <f aca="false">IF('Carga Vigilador'!A372="","",'Carga Vigilador'!A372)</f>
        <v/>
      </c>
      <c r="B372" s="11" t="str">
        <f aca="false">IF('Carga Vigilador'!B372="","",'Carga Vigilador'!B372)</f>
        <v/>
      </c>
      <c r="C372" s="12" t="str">
        <f aca="false">IF('Carga Vigilador'!C372="","",'Carga Vigilador'!C372)</f>
        <v/>
      </c>
      <c r="D372" s="13" t="str">
        <f aca="false">IF('Carga Vigilador'!D372="","",'Carga Vigilador'!D372)</f>
        <v/>
      </c>
      <c r="E372" s="6" t="str">
        <f aca="false">IF('Carga Vigilador'!E372="","",'Carga Vigilador'!E372)</f>
        <v/>
      </c>
      <c r="F372" s="13" t="str">
        <f aca="false">IF('Carga Vigilador'!F372="","",'Carga Vigilador'!F372)</f>
        <v/>
      </c>
      <c r="G372" s="13" t="str">
        <f aca="false">IF('Carga Vigilador'!G372="","",'Carga Vigilador'!G372)</f>
        <v/>
      </c>
      <c r="H372" s="14"/>
      <c r="I372" s="15"/>
      <c r="J372" s="14"/>
      <c r="K372" s="15"/>
      <c r="L372" s="16"/>
      <c r="M372" s="17"/>
      <c r="N372" s="18" t="str">
        <f aca="false">IF(B372="","",IF(J372="Sí","Multa aplicada",IF(J372="No","Sin multa",IF(H372="Sí","Descargo enviado","Pendiente"))))</f>
        <v/>
      </c>
    </row>
    <row r="373" customFormat="false" ht="15" hidden="false" customHeight="false" outlineLevel="0" collapsed="false">
      <c r="A373" s="6" t="str">
        <f aca="false">IF('Carga Vigilador'!A373="","",'Carga Vigilador'!A373)</f>
        <v/>
      </c>
      <c r="B373" s="11" t="str">
        <f aca="false">IF('Carga Vigilador'!B373="","",'Carga Vigilador'!B373)</f>
        <v/>
      </c>
      <c r="C373" s="12" t="str">
        <f aca="false">IF('Carga Vigilador'!C373="","",'Carga Vigilador'!C373)</f>
        <v/>
      </c>
      <c r="D373" s="13" t="str">
        <f aca="false">IF('Carga Vigilador'!D373="","",'Carga Vigilador'!D373)</f>
        <v/>
      </c>
      <c r="E373" s="6" t="str">
        <f aca="false">IF('Carga Vigilador'!E373="","",'Carga Vigilador'!E373)</f>
        <v/>
      </c>
      <c r="F373" s="13" t="str">
        <f aca="false">IF('Carga Vigilador'!F373="","",'Carga Vigilador'!F373)</f>
        <v/>
      </c>
      <c r="G373" s="13" t="str">
        <f aca="false">IF('Carga Vigilador'!G373="","",'Carga Vigilador'!G373)</f>
        <v/>
      </c>
      <c r="H373" s="14"/>
      <c r="I373" s="15"/>
      <c r="J373" s="14"/>
      <c r="K373" s="15"/>
      <c r="L373" s="16"/>
      <c r="M373" s="17"/>
      <c r="N373" s="18" t="str">
        <f aca="false">IF(B373="","",IF(J373="Sí","Multa aplicada",IF(J373="No","Sin multa",IF(H373="Sí","Descargo enviado","Pendiente"))))</f>
        <v/>
      </c>
    </row>
    <row r="374" customFormat="false" ht="15" hidden="false" customHeight="false" outlineLevel="0" collapsed="false">
      <c r="A374" s="6" t="str">
        <f aca="false">IF('Carga Vigilador'!A374="","",'Carga Vigilador'!A374)</f>
        <v/>
      </c>
      <c r="B374" s="11" t="str">
        <f aca="false">IF('Carga Vigilador'!B374="","",'Carga Vigilador'!B374)</f>
        <v/>
      </c>
      <c r="C374" s="12" t="str">
        <f aca="false">IF('Carga Vigilador'!C374="","",'Carga Vigilador'!C374)</f>
        <v/>
      </c>
      <c r="D374" s="13" t="str">
        <f aca="false">IF('Carga Vigilador'!D374="","",'Carga Vigilador'!D374)</f>
        <v/>
      </c>
      <c r="E374" s="6" t="str">
        <f aca="false">IF('Carga Vigilador'!E374="","",'Carga Vigilador'!E374)</f>
        <v/>
      </c>
      <c r="F374" s="13" t="str">
        <f aca="false">IF('Carga Vigilador'!F374="","",'Carga Vigilador'!F374)</f>
        <v/>
      </c>
      <c r="G374" s="13" t="str">
        <f aca="false">IF('Carga Vigilador'!G374="","",'Carga Vigilador'!G374)</f>
        <v/>
      </c>
      <c r="H374" s="14"/>
      <c r="I374" s="15"/>
      <c r="J374" s="14"/>
      <c r="K374" s="15"/>
      <c r="L374" s="16"/>
      <c r="M374" s="17"/>
      <c r="N374" s="18" t="str">
        <f aca="false">IF(B374="","",IF(J374="Sí","Multa aplicada",IF(J374="No","Sin multa",IF(H374="Sí","Descargo enviado","Pendiente"))))</f>
        <v/>
      </c>
    </row>
    <row r="375" customFormat="false" ht="15" hidden="false" customHeight="false" outlineLevel="0" collapsed="false">
      <c r="A375" s="6" t="str">
        <f aca="false">IF('Carga Vigilador'!A375="","",'Carga Vigilador'!A375)</f>
        <v/>
      </c>
      <c r="B375" s="11" t="str">
        <f aca="false">IF('Carga Vigilador'!B375="","",'Carga Vigilador'!B375)</f>
        <v/>
      </c>
      <c r="C375" s="12" t="str">
        <f aca="false">IF('Carga Vigilador'!C375="","",'Carga Vigilador'!C375)</f>
        <v/>
      </c>
      <c r="D375" s="13" t="str">
        <f aca="false">IF('Carga Vigilador'!D375="","",'Carga Vigilador'!D375)</f>
        <v/>
      </c>
      <c r="E375" s="6" t="str">
        <f aca="false">IF('Carga Vigilador'!E375="","",'Carga Vigilador'!E375)</f>
        <v/>
      </c>
      <c r="F375" s="13" t="str">
        <f aca="false">IF('Carga Vigilador'!F375="","",'Carga Vigilador'!F375)</f>
        <v/>
      </c>
      <c r="G375" s="13" t="str">
        <f aca="false">IF('Carga Vigilador'!G375="","",'Carga Vigilador'!G375)</f>
        <v/>
      </c>
      <c r="H375" s="14"/>
      <c r="I375" s="15"/>
      <c r="J375" s="14"/>
      <c r="K375" s="15"/>
      <c r="L375" s="16"/>
      <c r="M375" s="17"/>
      <c r="N375" s="18" t="str">
        <f aca="false">IF(B375="","",IF(J375="Sí","Multa aplicada",IF(J375="No","Sin multa",IF(H375="Sí","Descargo enviado","Pendiente"))))</f>
        <v/>
      </c>
    </row>
    <row r="376" customFormat="false" ht="15" hidden="false" customHeight="false" outlineLevel="0" collapsed="false">
      <c r="A376" s="6" t="str">
        <f aca="false">IF('Carga Vigilador'!A376="","",'Carga Vigilador'!A376)</f>
        <v/>
      </c>
      <c r="B376" s="11" t="str">
        <f aca="false">IF('Carga Vigilador'!B376="","",'Carga Vigilador'!B376)</f>
        <v/>
      </c>
      <c r="C376" s="12" t="str">
        <f aca="false">IF('Carga Vigilador'!C376="","",'Carga Vigilador'!C376)</f>
        <v/>
      </c>
      <c r="D376" s="13" t="str">
        <f aca="false">IF('Carga Vigilador'!D376="","",'Carga Vigilador'!D376)</f>
        <v/>
      </c>
      <c r="E376" s="6" t="str">
        <f aca="false">IF('Carga Vigilador'!E376="","",'Carga Vigilador'!E376)</f>
        <v/>
      </c>
      <c r="F376" s="13" t="str">
        <f aca="false">IF('Carga Vigilador'!F376="","",'Carga Vigilador'!F376)</f>
        <v/>
      </c>
      <c r="G376" s="13" t="str">
        <f aca="false">IF('Carga Vigilador'!G376="","",'Carga Vigilador'!G376)</f>
        <v/>
      </c>
      <c r="H376" s="14"/>
      <c r="I376" s="15"/>
      <c r="J376" s="14"/>
      <c r="K376" s="15"/>
      <c r="L376" s="16"/>
      <c r="M376" s="17"/>
      <c r="N376" s="18" t="str">
        <f aca="false">IF(B376="","",IF(J376="Sí","Multa aplicada",IF(J376="No","Sin multa",IF(H376="Sí","Descargo enviado","Pendiente"))))</f>
        <v/>
      </c>
    </row>
    <row r="377" customFormat="false" ht="15" hidden="false" customHeight="false" outlineLevel="0" collapsed="false">
      <c r="A377" s="6" t="str">
        <f aca="false">IF('Carga Vigilador'!A377="","",'Carga Vigilador'!A377)</f>
        <v/>
      </c>
      <c r="B377" s="11" t="str">
        <f aca="false">IF('Carga Vigilador'!B377="","",'Carga Vigilador'!B377)</f>
        <v/>
      </c>
      <c r="C377" s="12" t="str">
        <f aca="false">IF('Carga Vigilador'!C377="","",'Carga Vigilador'!C377)</f>
        <v/>
      </c>
      <c r="D377" s="13" t="str">
        <f aca="false">IF('Carga Vigilador'!D377="","",'Carga Vigilador'!D377)</f>
        <v/>
      </c>
      <c r="E377" s="6" t="str">
        <f aca="false">IF('Carga Vigilador'!E377="","",'Carga Vigilador'!E377)</f>
        <v/>
      </c>
      <c r="F377" s="13" t="str">
        <f aca="false">IF('Carga Vigilador'!F377="","",'Carga Vigilador'!F377)</f>
        <v/>
      </c>
      <c r="G377" s="13" t="str">
        <f aca="false">IF('Carga Vigilador'!G377="","",'Carga Vigilador'!G377)</f>
        <v/>
      </c>
      <c r="H377" s="14"/>
      <c r="I377" s="15"/>
      <c r="J377" s="14"/>
      <c r="K377" s="15"/>
      <c r="L377" s="16"/>
      <c r="M377" s="17"/>
      <c r="N377" s="18" t="str">
        <f aca="false">IF(B377="","",IF(J377="Sí","Multa aplicada",IF(J377="No","Sin multa",IF(H377="Sí","Descargo enviado","Pendiente"))))</f>
        <v/>
      </c>
    </row>
    <row r="378" customFormat="false" ht="15" hidden="false" customHeight="false" outlineLevel="0" collapsed="false">
      <c r="A378" s="6" t="str">
        <f aca="false">IF('Carga Vigilador'!A378="","",'Carga Vigilador'!A378)</f>
        <v/>
      </c>
      <c r="B378" s="11" t="str">
        <f aca="false">IF('Carga Vigilador'!B378="","",'Carga Vigilador'!B378)</f>
        <v/>
      </c>
      <c r="C378" s="12" t="str">
        <f aca="false">IF('Carga Vigilador'!C378="","",'Carga Vigilador'!C378)</f>
        <v/>
      </c>
      <c r="D378" s="13" t="str">
        <f aca="false">IF('Carga Vigilador'!D378="","",'Carga Vigilador'!D378)</f>
        <v/>
      </c>
      <c r="E378" s="6" t="str">
        <f aca="false">IF('Carga Vigilador'!E378="","",'Carga Vigilador'!E378)</f>
        <v/>
      </c>
      <c r="F378" s="13" t="str">
        <f aca="false">IF('Carga Vigilador'!F378="","",'Carga Vigilador'!F378)</f>
        <v/>
      </c>
      <c r="G378" s="13" t="str">
        <f aca="false">IF('Carga Vigilador'!G378="","",'Carga Vigilador'!G378)</f>
        <v/>
      </c>
      <c r="H378" s="14"/>
      <c r="I378" s="15"/>
      <c r="J378" s="14"/>
      <c r="K378" s="15"/>
      <c r="L378" s="16"/>
      <c r="M378" s="17"/>
      <c r="N378" s="18" t="str">
        <f aca="false">IF(B378="","",IF(J378="Sí","Multa aplicada",IF(J378="No","Sin multa",IF(H378="Sí","Descargo enviado","Pendiente"))))</f>
        <v/>
      </c>
    </row>
    <row r="379" customFormat="false" ht="15" hidden="false" customHeight="false" outlineLevel="0" collapsed="false">
      <c r="A379" s="6" t="str">
        <f aca="false">IF('Carga Vigilador'!A379="","",'Carga Vigilador'!A379)</f>
        <v/>
      </c>
      <c r="B379" s="11" t="str">
        <f aca="false">IF('Carga Vigilador'!B379="","",'Carga Vigilador'!B379)</f>
        <v/>
      </c>
      <c r="C379" s="12" t="str">
        <f aca="false">IF('Carga Vigilador'!C379="","",'Carga Vigilador'!C379)</f>
        <v/>
      </c>
      <c r="D379" s="13" t="str">
        <f aca="false">IF('Carga Vigilador'!D379="","",'Carga Vigilador'!D379)</f>
        <v/>
      </c>
      <c r="E379" s="6" t="str">
        <f aca="false">IF('Carga Vigilador'!E379="","",'Carga Vigilador'!E379)</f>
        <v/>
      </c>
      <c r="F379" s="13" t="str">
        <f aca="false">IF('Carga Vigilador'!F379="","",'Carga Vigilador'!F379)</f>
        <v/>
      </c>
      <c r="G379" s="13" t="str">
        <f aca="false">IF('Carga Vigilador'!G379="","",'Carga Vigilador'!G379)</f>
        <v/>
      </c>
      <c r="H379" s="14"/>
      <c r="I379" s="15"/>
      <c r="J379" s="14"/>
      <c r="K379" s="15"/>
      <c r="L379" s="16"/>
      <c r="M379" s="17"/>
      <c r="N379" s="18" t="str">
        <f aca="false">IF(B379="","",IF(J379="Sí","Multa aplicada",IF(J379="No","Sin multa",IF(H379="Sí","Descargo enviado","Pendiente"))))</f>
        <v/>
      </c>
    </row>
    <row r="380" customFormat="false" ht="15" hidden="false" customHeight="false" outlineLevel="0" collapsed="false">
      <c r="A380" s="6" t="str">
        <f aca="false">IF('Carga Vigilador'!A380="","",'Carga Vigilador'!A380)</f>
        <v/>
      </c>
      <c r="B380" s="11" t="str">
        <f aca="false">IF('Carga Vigilador'!B380="","",'Carga Vigilador'!B380)</f>
        <v/>
      </c>
      <c r="C380" s="12" t="str">
        <f aca="false">IF('Carga Vigilador'!C380="","",'Carga Vigilador'!C380)</f>
        <v/>
      </c>
      <c r="D380" s="13" t="str">
        <f aca="false">IF('Carga Vigilador'!D380="","",'Carga Vigilador'!D380)</f>
        <v/>
      </c>
      <c r="E380" s="6" t="str">
        <f aca="false">IF('Carga Vigilador'!E380="","",'Carga Vigilador'!E380)</f>
        <v/>
      </c>
      <c r="F380" s="13" t="str">
        <f aca="false">IF('Carga Vigilador'!F380="","",'Carga Vigilador'!F380)</f>
        <v/>
      </c>
      <c r="G380" s="13" t="str">
        <f aca="false">IF('Carga Vigilador'!G380="","",'Carga Vigilador'!G380)</f>
        <v/>
      </c>
      <c r="H380" s="14"/>
      <c r="I380" s="15"/>
      <c r="J380" s="14"/>
      <c r="K380" s="15"/>
      <c r="L380" s="16"/>
      <c r="M380" s="17"/>
      <c r="N380" s="18" t="str">
        <f aca="false">IF(B380="","",IF(J380="Sí","Multa aplicada",IF(J380="No","Sin multa",IF(H380="Sí","Descargo enviado","Pendiente"))))</f>
        <v/>
      </c>
    </row>
    <row r="381" customFormat="false" ht="15" hidden="false" customHeight="false" outlineLevel="0" collapsed="false">
      <c r="A381" s="6" t="str">
        <f aca="false">IF('Carga Vigilador'!A381="","",'Carga Vigilador'!A381)</f>
        <v/>
      </c>
      <c r="B381" s="11" t="str">
        <f aca="false">IF('Carga Vigilador'!B381="","",'Carga Vigilador'!B381)</f>
        <v/>
      </c>
      <c r="C381" s="12" t="str">
        <f aca="false">IF('Carga Vigilador'!C381="","",'Carga Vigilador'!C381)</f>
        <v/>
      </c>
      <c r="D381" s="13" t="str">
        <f aca="false">IF('Carga Vigilador'!D381="","",'Carga Vigilador'!D381)</f>
        <v/>
      </c>
      <c r="E381" s="6" t="str">
        <f aca="false">IF('Carga Vigilador'!E381="","",'Carga Vigilador'!E381)</f>
        <v/>
      </c>
      <c r="F381" s="13" t="str">
        <f aca="false">IF('Carga Vigilador'!F381="","",'Carga Vigilador'!F381)</f>
        <v/>
      </c>
      <c r="G381" s="13" t="str">
        <f aca="false">IF('Carga Vigilador'!G381="","",'Carga Vigilador'!G381)</f>
        <v/>
      </c>
      <c r="H381" s="14"/>
      <c r="I381" s="15"/>
      <c r="J381" s="14"/>
      <c r="K381" s="15"/>
      <c r="L381" s="16"/>
      <c r="M381" s="17"/>
      <c r="N381" s="18" t="str">
        <f aca="false">IF(B381="","",IF(J381="Sí","Multa aplicada",IF(J381="No","Sin multa",IF(H381="Sí","Descargo enviado","Pendiente"))))</f>
        <v/>
      </c>
    </row>
    <row r="382" customFormat="false" ht="15" hidden="false" customHeight="false" outlineLevel="0" collapsed="false">
      <c r="A382" s="6" t="str">
        <f aca="false">IF('Carga Vigilador'!A382="","",'Carga Vigilador'!A382)</f>
        <v/>
      </c>
      <c r="B382" s="11" t="str">
        <f aca="false">IF('Carga Vigilador'!B382="","",'Carga Vigilador'!B382)</f>
        <v/>
      </c>
      <c r="C382" s="12" t="str">
        <f aca="false">IF('Carga Vigilador'!C382="","",'Carga Vigilador'!C382)</f>
        <v/>
      </c>
      <c r="D382" s="13" t="str">
        <f aca="false">IF('Carga Vigilador'!D382="","",'Carga Vigilador'!D382)</f>
        <v/>
      </c>
      <c r="E382" s="6" t="str">
        <f aca="false">IF('Carga Vigilador'!E382="","",'Carga Vigilador'!E382)</f>
        <v/>
      </c>
      <c r="F382" s="13" t="str">
        <f aca="false">IF('Carga Vigilador'!F382="","",'Carga Vigilador'!F382)</f>
        <v/>
      </c>
      <c r="G382" s="13" t="str">
        <f aca="false">IF('Carga Vigilador'!G382="","",'Carga Vigilador'!G382)</f>
        <v/>
      </c>
      <c r="H382" s="14"/>
      <c r="I382" s="15"/>
      <c r="J382" s="14"/>
      <c r="K382" s="15"/>
      <c r="L382" s="16"/>
      <c r="M382" s="17"/>
      <c r="N382" s="18" t="str">
        <f aca="false">IF(B382="","",IF(J382="Sí","Multa aplicada",IF(J382="No","Sin multa",IF(H382="Sí","Descargo enviado","Pendiente"))))</f>
        <v/>
      </c>
    </row>
    <row r="383" customFormat="false" ht="15" hidden="false" customHeight="false" outlineLevel="0" collapsed="false">
      <c r="A383" s="6" t="str">
        <f aca="false">IF('Carga Vigilador'!A383="","",'Carga Vigilador'!A383)</f>
        <v/>
      </c>
      <c r="B383" s="11" t="str">
        <f aca="false">IF('Carga Vigilador'!B383="","",'Carga Vigilador'!B383)</f>
        <v/>
      </c>
      <c r="C383" s="12" t="str">
        <f aca="false">IF('Carga Vigilador'!C383="","",'Carga Vigilador'!C383)</f>
        <v/>
      </c>
      <c r="D383" s="13" t="str">
        <f aca="false">IF('Carga Vigilador'!D383="","",'Carga Vigilador'!D383)</f>
        <v/>
      </c>
      <c r="E383" s="6" t="str">
        <f aca="false">IF('Carga Vigilador'!E383="","",'Carga Vigilador'!E383)</f>
        <v/>
      </c>
      <c r="F383" s="13" t="str">
        <f aca="false">IF('Carga Vigilador'!F383="","",'Carga Vigilador'!F383)</f>
        <v/>
      </c>
      <c r="G383" s="13" t="str">
        <f aca="false">IF('Carga Vigilador'!G383="","",'Carga Vigilador'!G383)</f>
        <v/>
      </c>
      <c r="H383" s="14"/>
      <c r="I383" s="15"/>
      <c r="J383" s="14"/>
      <c r="K383" s="15"/>
      <c r="L383" s="16"/>
      <c r="M383" s="17"/>
      <c r="N383" s="18" t="str">
        <f aca="false">IF(B383="","",IF(J383="Sí","Multa aplicada",IF(J383="No","Sin multa",IF(H383="Sí","Descargo enviado","Pendiente"))))</f>
        <v/>
      </c>
    </row>
    <row r="384" customFormat="false" ht="15" hidden="false" customHeight="false" outlineLevel="0" collapsed="false">
      <c r="A384" s="6" t="str">
        <f aca="false">IF('Carga Vigilador'!A384="","",'Carga Vigilador'!A384)</f>
        <v/>
      </c>
      <c r="B384" s="11" t="str">
        <f aca="false">IF('Carga Vigilador'!B384="","",'Carga Vigilador'!B384)</f>
        <v/>
      </c>
      <c r="C384" s="12" t="str">
        <f aca="false">IF('Carga Vigilador'!C384="","",'Carga Vigilador'!C384)</f>
        <v/>
      </c>
      <c r="D384" s="13" t="str">
        <f aca="false">IF('Carga Vigilador'!D384="","",'Carga Vigilador'!D384)</f>
        <v/>
      </c>
      <c r="E384" s="6" t="str">
        <f aca="false">IF('Carga Vigilador'!E384="","",'Carga Vigilador'!E384)</f>
        <v/>
      </c>
      <c r="F384" s="13" t="str">
        <f aca="false">IF('Carga Vigilador'!F384="","",'Carga Vigilador'!F384)</f>
        <v/>
      </c>
      <c r="G384" s="13" t="str">
        <f aca="false">IF('Carga Vigilador'!G384="","",'Carga Vigilador'!G384)</f>
        <v/>
      </c>
      <c r="H384" s="14"/>
      <c r="I384" s="15"/>
      <c r="J384" s="14"/>
      <c r="K384" s="15"/>
      <c r="L384" s="16"/>
      <c r="M384" s="17"/>
      <c r="N384" s="18" t="str">
        <f aca="false">IF(B384="","",IF(J384="Sí","Multa aplicada",IF(J384="No","Sin multa",IF(H384="Sí","Descargo enviado","Pendiente"))))</f>
        <v/>
      </c>
    </row>
    <row r="385" customFormat="false" ht="15" hidden="false" customHeight="false" outlineLevel="0" collapsed="false">
      <c r="A385" s="6" t="str">
        <f aca="false">IF('Carga Vigilador'!A385="","",'Carga Vigilador'!A385)</f>
        <v/>
      </c>
      <c r="B385" s="11" t="str">
        <f aca="false">IF('Carga Vigilador'!B385="","",'Carga Vigilador'!B385)</f>
        <v/>
      </c>
      <c r="C385" s="12" t="str">
        <f aca="false">IF('Carga Vigilador'!C385="","",'Carga Vigilador'!C385)</f>
        <v/>
      </c>
      <c r="D385" s="13" t="str">
        <f aca="false">IF('Carga Vigilador'!D385="","",'Carga Vigilador'!D385)</f>
        <v/>
      </c>
      <c r="E385" s="6" t="str">
        <f aca="false">IF('Carga Vigilador'!E385="","",'Carga Vigilador'!E385)</f>
        <v/>
      </c>
      <c r="F385" s="13" t="str">
        <f aca="false">IF('Carga Vigilador'!F385="","",'Carga Vigilador'!F385)</f>
        <v/>
      </c>
      <c r="G385" s="13" t="str">
        <f aca="false">IF('Carga Vigilador'!G385="","",'Carga Vigilador'!G385)</f>
        <v/>
      </c>
      <c r="H385" s="14"/>
      <c r="I385" s="15"/>
      <c r="J385" s="14"/>
      <c r="K385" s="15"/>
      <c r="L385" s="16"/>
      <c r="M385" s="17"/>
      <c r="N385" s="18" t="str">
        <f aca="false">IF(B385="","",IF(J385="Sí","Multa aplicada",IF(J385="No","Sin multa",IF(H385="Sí","Descargo enviado","Pendiente"))))</f>
        <v/>
      </c>
    </row>
    <row r="386" customFormat="false" ht="15" hidden="false" customHeight="false" outlineLevel="0" collapsed="false">
      <c r="A386" s="6" t="str">
        <f aca="false">IF('Carga Vigilador'!A386="","",'Carga Vigilador'!A386)</f>
        <v/>
      </c>
      <c r="B386" s="11" t="str">
        <f aca="false">IF('Carga Vigilador'!B386="","",'Carga Vigilador'!B386)</f>
        <v/>
      </c>
      <c r="C386" s="12" t="str">
        <f aca="false">IF('Carga Vigilador'!C386="","",'Carga Vigilador'!C386)</f>
        <v/>
      </c>
      <c r="D386" s="13" t="str">
        <f aca="false">IF('Carga Vigilador'!D386="","",'Carga Vigilador'!D386)</f>
        <v/>
      </c>
      <c r="E386" s="6" t="str">
        <f aca="false">IF('Carga Vigilador'!E386="","",'Carga Vigilador'!E386)</f>
        <v/>
      </c>
      <c r="F386" s="13" t="str">
        <f aca="false">IF('Carga Vigilador'!F386="","",'Carga Vigilador'!F386)</f>
        <v/>
      </c>
      <c r="G386" s="13" t="str">
        <f aca="false">IF('Carga Vigilador'!G386="","",'Carga Vigilador'!G386)</f>
        <v/>
      </c>
      <c r="H386" s="14"/>
      <c r="I386" s="15"/>
      <c r="J386" s="14"/>
      <c r="K386" s="15"/>
      <c r="L386" s="16"/>
      <c r="M386" s="17"/>
      <c r="N386" s="18" t="str">
        <f aca="false">IF(B386="","",IF(J386="Sí","Multa aplicada",IF(J386="No","Sin multa",IF(H386="Sí","Descargo enviado","Pendiente"))))</f>
        <v/>
      </c>
    </row>
    <row r="387" customFormat="false" ht="15" hidden="false" customHeight="false" outlineLevel="0" collapsed="false">
      <c r="A387" s="6" t="str">
        <f aca="false">IF('Carga Vigilador'!A387="","",'Carga Vigilador'!A387)</f>
        <v/>
      </c>
      <c r="B387" s="11" t="str">
        <f aca="false">IF('Carga Vigilador'!B387="","",'Carga Vigilador'!B387)</f>
        <v/>
      </c>
      <c r="C387" s="12" t="str">
        <f aca="false">IF('Carga Vigilador'!C387="","",'Carga Vigilador'!C387)</f>
        <v/>
      </c>
      <c r="D387" s="13" t="str">
        <f aca="false">IF('Carga Vigilador'!D387="","",'Carga Vigilador'!D387)</f>
        <v/>
      </c>
      <c r="E387" s="6" t="str">
        <f aca="false">IF('Carga Vigilador'!E387="","",'Carga Vigilador'!E387)</f>
        <v/>
      </c>
      <c r="F387" s="13" t="str">
        <f aca="false">IF('Carga Vigilador'!F387="","",'Carga Vigilador'!F387)</f>
        <v/>
      </c>
      <c r="G387" s="13" t="str">
        <f aca="false">IF('Carga Vigilador'!G387="","",'Carga Vigilador'!G387)</f>
        <v/>
      </c>
      <c r="H387" s="14"/>
      <c r="I387" s="15"/>
      <c r="J387" s="14"/>
      <c r="K387" s="15"/>
      <c r="L387" s="16"/>
      <c r="M387" s="17"/>
      <c r="N387" s="18" t="str">
        <f aca="false">IF(B387="","",IF(J387="Sí","Multa aplicada",IF(J387="No","Sin multa",IF(H387="Sí","Descargo enviado","Pendiente"))))</f>
        <v/>
      </c>
    </row>
    <row r="388" customFormat="false" ht="15" hidden="false" customHeight="false" outlineLevel="0" collapsed="false">
      <c r="A388" s="6" t="str">
        <f aca="false">IF('Carga Vigilador'!A388="","",'Carga Vigilador'!A388)</f>
        <v/>
      </c>
      <c r="B388" s="11" t="str">
        <f aca="false">IF('Carga Vigilador'!B388="","",'Carga Vigilador'!B388)</f>
        <v/>
      </c>
      <c r="C388" s="12" t="str">
        <f aca="false">IF('Carga Vigilador'!C388="","",'Carga Vigilador'!C388)</f>
        <v/>
      </c>
      <c r="D388" s="13" t="str">
        <f aca="false">IF('Carga Vigilador'!D388="","",'Carga Vigilador'!D388)</f>
        <v/>
      </c>
      <c r="E388" s="6" t="str">
        <f aca="false">IF('Carga Vigilador'!E388="","",'Carga Vigilador'!E388)</f>
        <v/>
      </c>
      <c r="F388" s="13" t="str">
        <f aca="false">IF('Carga Vigilador'!F388="","",'Carga Vigilador'!F388)</f>
        <v/>
      </c>
      <c r="G388" s="13" t="str">
        <f aca="false">IF('Carga Vigilador'!G388="","",'Carga Vigilador'!G388)</f>
        <v/>
      </c>
      <c r="H388" s="14"/>
      <c r="I388" s="15"/>
      <c r="J388" s="14"/>
      <c r="K388" s="15"/>
      <c r="L388" s="16"/>
      <c r="M388" s="17"/>
      <c r="N388" s="18" t="str">
        <f aca="false">IF(B388="","",IF(J388="Sí","Multa aplicada",IF(J388="No","Sin multa",IF(H388="Sí","Descargo enviado","Pendiente"))))</f>
        <v/>
      </c>
    </row>
    <row r="389" customFormat="false" ht="15" hidden="false" customHeight="false" outlineLevel="0" collapsed="false">
      <c r="A389" s="6" t="str">
        <f aca="false">IF('Carga Vigilador'!A389="","",'Carga Vigilador'!A389)</f>
        <v/>
      </c>
      <c r="B389" s="11" t="str">
        <f aca="false">IF('Carga Vigilador'!B389="","",'Carga Vigilador'!B389)</f>
        <v/>
      </c>
      <c r="C389" s="12" t="str">
        <f aca="false">IF('Carga Vigilador'!C389="","",'Carga Vigilador'!C389)</f>
        <v/>
      </c>
      <c r="D389" s="13" t="str">
        <f aca="false">IF('Carga Vigilador'!D389="","",'Carga Vigilador'!D389)</f>
        <v/>
      </c>
      <c r="E389" s="6" t="str">
        <f aca="false">IF('Carga Vigilador'!E389="","",'Carga Vigilador'!E389)</f>
        <v/>
      </c>
      <c r="F389" s="13" t="str">
        <f aca="false">IF('Carga Vigilador'!F389="","",'Carga Vigilador'!F389)</f>
        <v/>
      </c>
      <c r="G389" s="13" t="str">
        <f aca="false">IF('Carga Vigilador'!G389="","",'Carga Vigilador'!G389)</f>
        <v/>
      </c>
      <c r="H389" s="14"/>
      <c r="I389" s="15"/>
      <c r="J389" s="14"/>
      <c r="K389" s="15"/>
      <c r="L389" s="16"/>
      <c r="M389" s="17"/>
      <c r="N389" s="18" t="str">
        <f aca="false">IF(B389="","",IF(J389="Sí","Multa aplicada",IF(J389="No","Sin multa",IF(H389="Sí","Descargo enviado","Pendiente"))))</f>
        <v/>
      </c>
    </row>
    <row r="390" customFormat="false" ht="15" hidden="false" customHeight="false" outlineLevel="0" collapsed="false">
      <c r="A390" s="6" t="str">
        <f aca="false">IF('Carga Vigilador'!A390="","",'Carga Vigilador'!A390)</f>
        <v/>
      </c>
      <c r="B390" s="11" t="str">
        <f aca="false">IF('Carga Vigilador'!B390="","",'Carga Vigilador'!B390)</f>
        <v/>
      </c>
      <c r="C390" s="12" t="str">
        <f aca="false">IF('Carga Vigilador'!C390="","",'Carga Vigilador'!C390)</f>
        <v/>
      </c>
      <c r="D390" s="13" t="str">
        <f aca="false">IF('Carga Vigilador'!D390="","",'Carga Vigilador'!D390)</f>
        <v/>
      </c>
      <c r="E390" s="6" t="str">
        <f aca="false">IF('Carga Vigilador'!E390="","",'Carga Vigilador'!E390)</f>
        <v/>
      </c>
      <c r="F390" s="13" t="str">
        <f aca="false">IF('Carga Vigilador'!F390="","",'Carga Vigilador'!F390)</f>
        <v/>
      </c>
      <c r="G390" s="13" t="str">
        <f aca="false">IF('Carga Vigilador'!G390="","",'Carga Vigilador'!G390)</f>
        <v/>
      </c>
      <c r="H390" s="14"/>
      <c r="I390" s="15"/>
      <c r="J390" s="14"/>
      <c r="K390" s="15"/>
      <c r="L390" s="16"/>
      <c r="M390" s="17"/>
      <c r="N390" s="18" t="str">
        <f aca="false">IF(B390="","",IF(J390="Sí","Multa aplicada",IF(J390="No","Sin multa",IF(H390="Sí","Descargo enviado","Pendiente"))))</f>
        <v/>
      </c>
    </row>
    <row r="391" customFormat="false" ht="15" hidden="false" customHeight="false" outlineLevel="0" collapsed="false">
      <c r="A391" s="6" t="str">
        <f aca="false">IF('Carga Vigilador'!A391="","",'Carga Vigilador'!A391)</f>
        <v/>
      </c>
      <c r="B391" s="11" t="str">
        <f aca="false">IF('Carga Vigilador'!B391="","",'Carga Vigilador'!B391)</f>
        <v/>
      </c>
      <c r="C391" s="12" t="str">
        <f aca="false">IF('Carga Vigilador'!C391="","",'Carga Vigilador'!C391)</f>
        <v/>
      </c>
      <c r="D391" s="13" t="str">
        <f aca="false">IF('Carga Vigilador'!D391="","",'Carga Vigilador'!D391)</f>
        <v/>
      </c>
      <c r="E391" s="6" t="str">
        <f aca="false">IF('Carga Vigilador'!E391="","",'Carga Vigilador'!E391)</f>
        <v/>
      </c>
      <c r="F391" s="13" t="str">
        <f aca="false">IF('Carga Vigilador'!F391="","",'Carga Vigilador'!F391)</f>
        <v/>
      </c>
      <c r="G391" s="13" t="str">
        <f aca="false">IF('Carga Vigilador'!G391="","",'Carga Vigilador'!G391)</f>
        <v/>
      </c>
      <c r="H391" s="14"/>
      <c r="I391" s="15"/>
      <c r="J391" s="14"/>
      <c r="K391" s="15"/>
      <c r="L391" s="16"/>
      <c r="M391" s="17"/>
      <c r="N391" s="18" t="str">
        <f aca="false">IF(B391="","",IF(J391="Sí","Multa aplicada",IF(J391="No","Sin multa",IF(H391="Sí","Descargo enviado","Pendiente"))))</f>
        <v/>
      </c>
    </row>
    <row r="392" customFormat="false" ht="15" hidden="false" customHeight="false" outlineLevel="0" collapsed="false">
      <c r="A392" s="6" t="str">
        <f aca="false">IF('Carga Vigilador'!A392="","",'Carga Vigilador'!A392)</f>
        <v/>
      </c>
      <c r="B392" s="11" t="str">
        <f aca="false">IF('Carga Vigilador'!B392="","",'Carga Vigilador'!B392)</f>
        <v/>
      </c>
      <c r="C392" s="12" t="str">
        <f aca="false">IF('Carga Vigilador'!C392="","",'Carga Vigilador'!C392)</f>
        <v/>
      </c>
      <c r="D392" s="13" t="str">
        <f aca="false">IF('Carga Vigilador'!D392="","",'Carga Vigilador'!D392)</f>
        <v/>
      </c>
      <c r="E392" s="6" t="str">
        <f aca="false">IF('Carga Vigilador'!E392="","",'Carga Vigilador'!E392)</f>
        <v/>
      </c>
      <c r="F392" s="13" t="str">
        <f aca="false">IF('Carga Vigilador'!F392="","",'Carga Vigilador'!F392)</f>
        <v/>
      </c>
      <c r="G392" s="13" t="str">
        <f aca="false">IF('Carga Vigilador'!G392="","",'Carga Vigilador'!G392)</f>
        <v/>
      </c>
      <c r="H392" s="14"/>
      <c r="I392" s="15"/>
      <c r="J392" s="14"/>
      <c r="K392" s="15"/>
      <c r="L392" s="16"/>
      <c r="M392" s="17"/>
      <c r="N392" s="18" t="str">
        <f aca="false">IF(B392="","",IF(J392="Sí","Multa aplicada",IF(J392="No","Sin multa",IF(H392="Sí","Descargo enviado","Pendiente"))))</f>
        <v/>
      </c>
    </row>
    <row r="393" customFormat="false" ht="15" hidden="false" customHeight="false" outlineLevel="0" collapsed="false">
      <c r="A393" s="6" t="str">
        <f aca="false">IF('Carga Vigilador'!A393="","",'Carga Vigilador'!A393)</f>
        <v/>
      </c>
      <c r="B393" s="11" t="str">
        <f aca="false">IF('Carga Vigilador'!B393="","",'Carga Vigilador'!B393)</f>
        <v/>
      </c>
      <c r="C393" s="12" t="str">
        <f aca="false">IF('Carga Vigilador'!C393="","",'Carga Vigilador'!C393)</f>
        <v/>
      </c>
      <c r="D393" s="13" t="str">
        <f aca="false">IF('Carga Vigilador'!D393="","",'Carga Vigilador'!D393)</f>
        <v/>
      </c>
      <c r="E393" s="6" t="str">
        <f aca="false">IF('Carga Vigilador'!E393="","",'Carga Vigilador'!E393)</f>
        <v/>
      </c>
      <c r="F393" s="13" t="str">
        <f aca="false">IF('Carga Vigilador'!F393="","",'Carga Vigilador'!F393)</f>
        <v/>
      </c>
      <c r="G393" s="13" t="str">
        <f aca="false">IF('Carga Vigilador'!G393="","",'Carga Vigilador'!G393)</f>
        <v/>
      </c>
      <c r="H393" s="14"/>
      <c r="I393" s="15"/>
      <c r="J393" s="14"/>
      <c r="K393" s="15"/>
      <c r="L393" s="16"/>
      <c r="M393" s="17"/>
      <c r="N393" s="18" t="str">
        <f aca="false">IF(B393="","",IF(J393="Sí","Multa aplicada",IF(J393="No","Sin multa",IF(H393="Sí","Descargo enviado","Pendiente"))))</f>
        <v/>
      </c>
    </row>
    <row r="394" customFormat="false" ht="15" hidden="false" customHeight="false" outlineLevel="0" collapsed="false">
      <c r="A394" s="6" t="str">
        <f aca="false">IF('Carga Vigilador'!A394="","",'Carga Vigilador'!A394)</f>
        <v/>
      </c>
      <c r="B394" s="11" t="str">
        <f aca="false">IF('Carga Vigilador'!B394="","",'Carga Vigilador'!B394)</f>
        <v/>
      </c>
      <c r="C394" s="12" t="str">
        <f aca="false">IF('Carga Vigilador'!C394="","",'Carga Vigilador'!C394)</f>
        <v/>
      </c>
      <c r="D394" s="13" t="str">
        <f aca="false">IF('Carga Vigilador'!D394="","",'Carga Vigilador'!D394)</f>
        <v/>
      </c>
      <c r="E394" s="6" t="str">
        <f aca="false">IF('Carga Vigilador'!E394="","",'Carga Vigilador'!E394)</f>
        <v/>
      </c>
      <c r="F394" s="13" t="str">
        <f aca="false">IF('Carga Vigilador'!F394="","",'Carga Vigilador'!F394)</f>
        <v/>
      </c>
      <c r="G394" s="13" t="str">
        <f aca="false">IF('Carga Vigilador'!G394="","",'Carga Vigilador'!G394)</f>
        <v/>
      </c>
      <c r="H394" s="14"/>
      <c r="I394" s="15"/>
      <c r="J394" s="14"/>
      <c r="K394" s="15"/>
      <c r="L394" s="16"/>
      <c r="M394" s="17"/>
      <c r="N394" s="18" t="str">
        <f aca="false">IF(B394="","",IF(J394="Sí","Multa aplicada",IF(J394="No","Sin multa",IF(H394="Sí","Descargo enviado","Pendiente"))))</f>
        <v/>
      </c>
    </row>
    <row r="395" customFormat="false" ht="15" hidden="false" customHeight="false" outlineLevel="0" collapsed="false">
      <c r="A395" s="6" t="str">
        <f aca="false">IF('Carga Vigilador'!A395="","",'Carga Vigilador'!A395)</f>
        <v/>
      </c>
      <c r="B395" s="11" t="str">
        <f aca="false">IF('Carga Vigilador'!B395="","",'Carga Vigilador'!B395)</f>
        <v/>
      </c>
      <c r="C395" s="12" t="str">
        <f aca="false">IF('Carga Vigilador'!C395="","",'Carga Vigilador'!C395)</f>
        <v/>
      </c>
      <c r="D395" s="13" t="str">
        <f aca="false">IF('Carga Vigilador'!D395="","",'Carga Vigilador'!D395)</f>
        <v/>
      </c>
      <c r="E395" s="6" t="str">
        <f aca="false">IF('Carga Vigilador'!E395="","",'Carga Vigilador'!E395)</f>
        <v/>
      </c>
      <c r="F395" s="13" t="str">
        <f aca="false">IF('Carga Vigilador'!F395="","",'Carga Vigilador'!F395)</f>
        <v/>
      </c>
      <c r="G395" s="13" t="str">
        <f aca="false">IF('Carga Vigilador'!G395="","",'Carga Vigilador'!G395)</f>
        <v/>
      </c>
      <c r="H395" s="14"/>
      <c r="I395" s="15"/>
      <c r="J395" s="14"/>
      <c r="K395" s="15"/>
      <c r="L395" s="16"/>
      <c r="M395" s="17"/>
      <c r="N395" s="18" t="str">
        <f aca="false">IF(B395="","",IF(J395="Sí","Multa aplicada",IF(J395="No","Sin multa",IF(H395="Sí","Descargo enviado","Pendiente"))))</f>
        <v/>
      </c>
    </row>
    <row r="396" customFormat="false" ht="15" hidden="false" customHeight="false" outlineLevel="0" collapsed="false">
      <c r="A396" s="6" t="str">
        <f aca="false">IF('Carga Vigilador'!A396="","",'Carga Vigilador'!A396)</f>
        <v/>
      </c>
      <c r="B396" s="11" t="str">
        <f aca="false">IF('Carga Vigilador'!B396="","",'Carga Vigilador'!B396)</f>
        <v/>
      </c>
      <c r="C396" s="12" t="str">
        <f aca="false">IF('Carga Vigilador'!C396="","",'Carga Vigilador'!C396)</f>
        <v/>
      </c>
      <c r="D396" s="13" t="str">
        <f aca="false">IF('Carga Vigilador'!D396="","",'Carga Vigilador'!D396)</f>
        <v/>
      </c>
      <c r="E396" s="6" t="str">
        <f aca="false">IF('Carga Vigilador'!E396="","",'Carga Vigilador'!E396)</f>
        <v/>
      </c>
      <c r="F396" s="13" t="str">
        <f aca="false">IF('Carga Vigilador'!F396="","",'Carga Vigilador'!F396)</f>
        <v/>
      </c>
      <c r="G396" s="13" t="str">
        <f aca="false">IF('Carga Vigilador'!G396="","",'Carga Vigilador'!G396)</f>
        <v/>
      </c>
      <c r="H396" s="14"/>
      <c r="I396" s="15"/>
      <c r="J396" s="14"/>
      <c r="K396" s="15"/>
      <c r="L396" s="16"/>
      <c r="M396" s="17"/>
      <c r="N396" s="18" t="str">
        <f aca="false">IF(B396="","",IF(J396="Sí","Multa aplicada",IF(J396="No","Sin multa",IF(H396="Sí","Descargo enviado","Pendiente"))))</f>
        <v/>
      </c>
    </row>
    <row r="397" customFormat="false" ht="15" hidden="false" customHeight="false" outlineLevel="0" collapsed="false">
      <c r="A397" s="6" t="str">
        <f aca="false">IF('Carga Vigilador'!A397="","",'Carga Vigilador'!A397)</f>
        <v/>
      </c>
      <c r="B397" s="11" t="str">
        <f aca="false">IF('Carga Vigilador'!B397="","",'Carga Vigilador'!B397)</f>
        <v/>
      </c>
      <c r="C397" s="12" t="str">
        <f aca="false">IF('Carga Vigilador'!C397="","",'Carga Vigilador'!C397)</f>
        <v/>
      </c>
      <c r="D397" s="13" t="str">
        <f aca="false">IF('Carga Vigilador'!D397="","",'Carga Vigilador'!D397)</f>
        <v/>
      </c>
      <c r="E397" s="6" t="str">
        <f aca="false">IF('Carga Vigilador'!E397="","",'Carga Vigilador'!E397)</f>
        <v/>
      </c>
      <c r="F397" s="13" t="str">
        <f aca="false">IF('Carga Vigilador'!F397="","",'Carga Vigilador'!F397)</f>
        <v/>
      </c>
      <c r="G397" s="13" t="str">
        <f aca="false">IF('Carga Vigilador'!G397="","",'Carga Vigilador'!G397)</f>
        <v/>
      </c>
      <c r="H397" s="14"/>
      <c r="I397" s="15"/>
      <c r="J397" s="14"/>
      <c r="K397" s="15"/>
      <c r="L397" s="16"/>
      <c r="M397" s="17"/>
      <c r="N397" s="18" t="str">
        <f aca="false">IF(B397="","",IF(J397="Sí","Multa aplicada",IF(J397="No","Sin multa",IF(H397="Sí","Descargo enviado","Pendiente"))))</f>
        <v/>
      </c>
    </row>
    <row r="398" customFormat="false" ht="15" hidden="false" customHeight="false" outlineLevel="0" collapsed="false">
      <c r="A398" s="6" t="str">
        <f aca="false">IF('Carga Vigilador'!A398="","",'Carga Vigilador'!A398)</f>
        <v/>
      </c>
      <c r="B398" s="11" t="str">
        <f aca="false">IF('Carga Vigilador'!B398="","",'Carga Vigilador'!B398)</f>
        <v/>
      </c>
      <c r="C398" s="12" t="str">
        <f aca="false">IF('Carga Vigilador'!C398="","",'Carga Vigilador'!C398)</f>
        <v/>
      </c>
      <c r="D398" s="13" t="str">
        <f aca="false">IF('Carga Vigilador'!D398="","",'Carga Vigilador'!D398)</f>
        <v/>
      </c>
      <c r="E398" s="6" t="str">
        <f aca="false">IF('Carga Vigilador'!E398="","",'Carga Vigilador'!E398)</f>
        <v/>
      </c>
      <c r="F398" s="13" t="str">
        <f aca="false">IF('Carga Vigilador'!F398="","",'Carga Vigilador'!F398)</f>
        <v/>
      </c>
      <c r="G398" s="13" t="str">
        <f aca="false">IF('Carga Vigilador'!G398="","",'Carga Vigilador'!G398)</f>
        <v/>
      </c>
      <c r="H398" s="14"/>
      <c r="I398" s="15"/>
      <c r="J398" s="14"/>
      <c r="K398" s="15"/>
      <c r="L398" s="16"/>
      <c r="M398" s="17"/>
      <c r="N398" s="18" t="str">
        <f aca="false">IF(B398="","",IF(J398="Sí","Multa aplicada",IF(J398="No","Sin multa",IF(H398="Sí","Descargo enviado","Pendiente"))))</f>
        <v/>
      </c>
    </row>
    <row r="399" customFormat="false" ht="15" hidden="false" customHeight="false" outlineLevel="0" collapsed="false">
      <c r="A399" s="6" t="str">
        <f aca="false">IF('Carga Vigilador'!A399="","",'Carga Vigilador'!A399)</f>
        <v/>
      </c>
      <c r="B399" s="11" t="str">
        <f aca="false">IF('Carga Vigilador'!B399="","",'Carga Vigilador'!B399)</f>
        <v/>
      </c>
      <c r="C399" s="12" t="str">
        <f aca="false">IF('Carga Vigilador'!C399="","",'Carga Vigilador'!C399)</f>
        <v/>
      </c>
      <c r="D399" s="13" t="str">
        <f aca="false">IF('Carga Vigilador'!D399="","",'Carga Vigilador'!D399)</f>
        <v/>
      </c>
      <c r="E399" s="6" t="str">
        <f aca="false">IF('Carga Vigilador'!E399="","",'Carga Vigilador'!E399)</f>
        <v/>
      </c>
      <c r="F399" s="13" t="str">
        <f aca="false">IF('Carga Vigilador'!F399="","",'Carga Vigilador'!F399)</f>
        <v/>
      </c>
      <c r="G399" s="13" t="str">
        <f aca="false">IF('Carga Vigilador'!G399="","",'Carga Vigilador'!G399)</f>
        <v/>
      </c>
      <c r="H399" s="14"/>
      <c r="I399" s="15"/>
      <c r="J399" s="14"/>
      <c r="K399" s="15"/>
      <c r="L399" s="16"/>
      <c r="M399" s="17"/>
      <c r="N399" s="18" t="str">
        <f aca="false">IF(B399="","",IF(J399="Sí","Multa aplicada",IF(J399="No","Sin multa",IF(H399="Sí","Descargo enviado","Pendiente"))))</f>
        <v/>
      </c>
    </row>
    <row r="400" customFormat="false" ht="15" hidden="false" customHeight="false" outlineLevel="0" collapsed="false">
      <c r="A400" s="6" t="str">
        <f aca="false">IF('Carga Vigilador'!A400="","",'Carga Vigilador'!A400)</f>
        <v/>
      </c>
      <c r="B400" s="11" t="str">
        <f aca="false">IF('Carga Vigilador'!B400="","",'Carga Vigilador'!B400)</f>
        <v/>
      </c>
      <c r="C400" s="12" t="str">
        <f aca="false">IF('Carga Vigilador'!C400="","",'Carga Vigilador'!C400)</f>
        <v/>
      </c>
      <c r="D400" s="13" t="str">
        <f aca="false">IF('Carga Vigilador'!D400="","",'Carga Vigilador'!D400)</f>
        <v/>
      </c>
      <c r="E400" s="6" t="str">
        <f aca="false">IF('Carga Vigilador'!E400="","",'Carga Vigilador'!E400)</f>
        <v/>
      </c>
      <c r="F400" s="13" t="str">
        <f aca="false">IF('Carga Vigilador'!F400="","",'Carga Vigilador'!F400)</f>
        <v/>
      </c>
      <c r="G400" s="13" t="str">
        <f aca="false">IF('Carga Vigilador'!G400="","",'Carga Vigilador'!G400)</f>
        <v/>
      </c>
      <c r="H400" s="14"/>
      <c r="I400" s="15"/>
      <c r="J400" s="14"/>
      <c r="K400" s="15"/>
      <c r="L400" s="16"/>
      <c r="M400" s="17"/>
      <c r="N400" s="18" t="str">
        <f aca="false">IF(B400="","",IF(J400="Sí","Multa aplicada",IF(J400="No","Sin multa",IF(H400="Sí","Descargo enviado","Pendiente"))))</f>
        <v/>
      </c>
    </row>
    <row r="401" customFormat="false" ht="15" hidden="false" customHeight="false" outlineLevel="0" collapsed="false">
      <c r="A401" s="6" t="str">
        <f aca="false">IF('Carga Vigilador'!A401="","",'Carga Vigilador'!A401)</f>
        <v/>
      </c>
      <c r="B401" s="11" t="str">
        <f aca="false">IF('Carga Vigilador'!B401="","",'Carga Vigilador'!B401)</f>
        <v/>
      </c>
      <c r="C401" s="12" t="str">
        <f aca="false">IF('Carga Vigilador'!C401="","",'Carga Vigilador'!C401)</f>
        <v/>
      </c>
      <c r="D401" s="13" t="str">
        <f aca="false">IF('Carga Vigilador'!D401="","",'Carga Vigilador'!D401)</f>
        <v/>
      </c>
      <c r="E401" s="6" t="str">
        <f aca="false">IF('Carga Vigilador'!E401="","",'Carga Vigilador'!E401)</f>
        <v/>
      </c>
      <c r="F401" s="13" t="str">
        <f aca="false">IF('Carga Vigilador'!F401="","",'Carga Vigilador'!F401)</f>
        <v/>
      </c>
      <c r="G401" s="13" t="str">
        <f aca="false">IF('Carga Vigilador'!G401="","",'Carga Vigilador'!G401)</f>
        <v/>
      </c>
      <c r="H401" s="14"/>
      <c r="I401" s="15"/>
      <c r="J401" s="14"/>
      <c r="K401" s="15"/>
      <c r="L401" s="16"/>
      <c r="M401" s="17"/>
      <c r="N401" s="18" t="str">
        <f aca="false">IF(B401="","",IF(J401="Sí","Multa aplicada",IF(J401="No","Sin multa",IF(H401="Sí","Descargo enviado","Pendiente"))))</f>
        <v/>
      </c>
    </row>
    <row r="402" customFormat="false" ht="15" hidden="false" customHeight="false" outlineLevel="0" collapsed="false">
      <c r="A402" s="6" t="str">
        <f aca="false">IF('Carga Vigilador'!A402="","",'Carga Vigilador'!A402)</f>
        <v/>
      </c>
      <c r="B402" s="11" t="str">
        <f aca="false">IF('Carga Vigilador'!B402="","",'Carga Vigilador'!B402)</f>
        <v/>
      </c>
      <c r="C402" s="12" t="str">
        <f aca="false">IF('Carga Vigilador'!C402="","",'Carga Vigilador'!C402)</f>
        <v/>
      </c>
      <c r="D402" s="13" t="str">
        <f aca="false">IF('Carga Vigilador'!D402="","",'Carga Vigilador'!D402)</f>
        <v/>
      </c>
      <c r="E402" s="6" t="str">
        <f aca="false">IF('Carga Vigilador'!E402="","",'Carga Vigilador'!E402)</f>
        <v/>
      </c>
      <c r="F402" s="13" t="str">
        <f aca="false">IF('Carga Vigilador'!F402="","",'Carga Vigilador'!F402)</f>
        <v/>
      </c>
      <c r="G402" s="13" t="str">
        <f aca="false">IF('Carga Vigilador'!G402="","",'Carga Vigilador'!G402)</f>
        <v/>
      </c>
      <c r="H402" s="14"/>
      <c r="I402" s="15"/>
      <c r="J402" s="14"/>
      <c r="K402" s="15"/>
      <c r="L402" s="16"/>
      <c r="M402" s="17"/>
      <c r="N402" s="18" t="str">
        <f aca="false">IF(B402="","",IF(J402="Sí","Multa aplicada",IF(J402="No","Sin multa",IF(H402="Sí","Descargo enviado","Pendiente"))))</f>
        <v/>
      </c>
    </row>
    <row r="403" customFormat="false" ht="15" hidden="false" customHeight="false" outlineLevel="0" collapsed="false">
      <c r="A403" s="6" t="str">
        <f aca="false">IF('Carga Vigilador'!A403="","",'Carga Vigilador'!A403)</f>
        <v/>
      </c>
      <c r="B403" s="11" t="str">
        <f aca="false">IF('Carga Vigilador'!B403="","",'Carga Vigilador'!B403)</f>
        <v/>
      </c>
      <c r="C403" s="12" t="str">
        <f aca="false">IF('Carga Vigilador'!C403="","",'Carga Vigilador'!C403)</f>
        <v/>
      </c>
      <c r="D403" s="13" t="str">
        <f aca="false">IF('Carga Vigilador'!D403="","",'Carga Vigilador'!D403)</f>
        <v/>
      </c>
      <c r="E403" s="6" t="str">
        <f aca="false">IF('Carga Vigilador'!E403="","",'Carga Vigilador'!E403)</f>
        <v/>
      </c>
      <c r="F403" s="13" t="str">
        <f aca="false">IF('Carga Vigilador'!F403="","",'Carga Vigilador'!F403)</f>
        <v/>
      </c>
      <c r="G403" s="13" t="str">
        <f aca="false">IF('Carga Vigilador'!G403="","",'Carga Vigilador'!G403)</f>
        <v/>
      </c>
      <c r="H403" s="14"/>
      <c r="I403" s="15"/>
      <c r="J403" s="14"/>
      <c r="K403" s="15"/>
      <c r="L403" s="16"/>
      <c r="M403" s="17"/>
      <c r="N403" s="18" t="str">
        <f aca="false">IF(B403="","",IF(J403="Sí","Multa aplicada",IF(J403="No","Sin multa",IF(H403="Sí","Descargo enviado","Pendiente"))))</f>
        <v/>
      </c>
    </row>
    <row r="404" customFormat="false" ht="15" hidden="false" customHeight="false" outlineLevel="0" collapsed="false">
      <c r="A404" s="6" t="str">
        <f aca="false">IF('Carga Vigilador'!A404="","",'Carga Vigilador'!A404)</f>
        <v/>
      </c>
      <c r="B404" s="11" t="str">
        <f aca="false">IF('Carga Vigilador'!B404="","",'Carga Vigilador'!B404)</f>
        <v/>
      </c>
      <c r="C404" s="12" t="str">
        <f aca="false">IF('Carga Vigilador'!C404="","",'Carga Vigilador'!C404)</f>
        <v/>
      </c>
      <c r="D404" s="13" t="str">
        <f aca="false">IF('Carga Vigilador'!D404="","",'Carga Vigilador'!D404)</f>
        <v/>
      </c>
      <c r="E404" s="6" t="str">
        <f aca="false">IF('Carga Vigilador'!E404="","",'Carga Vigilador'!E404)</f>
        <v/>
      </c>
      <c r="F404" s="13" t="str">
        <f aca="false">IF('Carga Vigilador'!F404="","",'Carga Vigilador'!F404)</f>
        <v/>
      </c>
      <c r="G404" s="13" t="str">
        <f aca="false">IF('Carga Vigilador'!G404="","",'Carga Vigilador'!G404)</f>
        <v/>
      </c>
      <c r="H404" s="14"/>
      <c r="I404" s="15"/>
      <c r="J404" s="14"/>
      <c r="K404" s="15"/>
      <c r="L404" s="16"/>
      <c r="M404" s="17"/>
      <c r="N404" s="18" t="str">
        <f aca="false">IF(B404="","",IF(J404="Sí","Multa aplicada",IF(J404="No","Sin multa",IF(H404="Sí","Descargo enviado","Pendiente"))))</f>
        <v/>
      </c>
    </row>
    <row r="405" customFormat="false" ht="15" hidden="false" customHeight="false" outlineLevel="0" collapsed="false">
      <c r="A405" s="6" t="str">
        <f aca="false">IF('Carga Vigilador'!A405="","",'Carga Vigilador'!A405)</f>
        <v/>
      </c>
      <c r="B405" s="11" t="str">
        <f aca="false">IF('Carga Vigilador'!B405="","",'Carga Vigilador'!B405)</f>
        <v/>
      </c>
      <c r="C405" s="12" t="str">
        <f aca="false">IF('Carga Vigilador'!C405="","",'Carga Vigilador'!C405)</f>
        <v/>
      </c>
      <c r="D405" s="13" t="str">
        <f aca="false">IF('Carga Vigilador'!D405="","",'Carga Vigilador'!D405)</f>
        <v/>
      </c>
      <c r="E405" s="6" t="str">
        <f aca="false">IF('Carga Vigilador'!E405="","",'Carga Vigilador'!E405)</f>
        <v/>
      </c>
      <c r="F405" s="13" t="str">
        <f aca="false">IF('Carga Vigilador'!F405="","",'Carga Vigilador'!F405)</f>
        <v/>
      </c>
      <c r="G405" s="13" t="str">
        <f aca="false">IF('Carga Vigilador'!G405="","",'Carga Vigilador'!G405)</f>
        <v/>
      </c>
      <c r="H405" s="14"/>
      <c r="I405" s="15"/>
      <c r="J405" s="14"/>
      <c r="K405" s="15"/>
      <c r="L405" s="16"/>
      <c r="M405" s="17"/>
      <c r="N405" s="18" t="str">
        <f aca="false">IF(B405="","",IF(J405="Sí","Multa aplicada",IF(J405="No","Sin multa",IF(H405="Sí","Descargo enviado","Pendiente"))))</f>
        <v/>
      </c>
    </row>
    <row r="406" customFormat="false" ht="15" hidden="false" customHeight="false" outlineLevel="0" collapsed="false">
      <c r="A406" s="6" t="str">
        <f aca="false">IF('Carga Vigilador'!A406="","",'Carga Vigilador'!A406)</f>
        <v/>
      </c>
      <c r="B406" s="11" t="str">
        <f aca="false">IF('Carga Vigilador'!B406="","",'Carga Vigilador'!B406)</f>
        <v/>
      </c>
      <c r="C406" s="12" t="str">
        <f aca="false">IF('Carga Vigilador'!C406="","",'Carga Vigilador'!C406)</f>
        <v/>
      </c>
      <c r="D406" s="13" t="str">
        <f aca="false">IF('Carga Vigilador'!D406="","",'Carga Vigilador'!D406)</f>
        <v/>
      </c>
      <c r="E406" s="6" t="str">
        <f aca="false">IF('Carga Vigilador'!E406="","",'Carga Vigilador'!E406)</f>
        <v/>
      </c>
      <c r="F406" s="13" t="str">
        <f aca="false">IF('Carga Vigilador'!F406="","",'Carga Vigilador'!F406)</f>
        <v/>
      </c>
      <c r="G406" s="13" t="str">
        <f aca="false">IF('Carga Vigilador'!G406="","",'Carga Vigilador'!G406)</f>
        <v/>
      </c>
      <c r="H406" s="14"/>
      <c r="I406" s="15"/>
      <c r="J406" s="14"/>
      <c r="K406" s="15"/>
      <c r="L406" s="16"/>
      <c r="M406" s="17"/>
      <c r="N406" s="18" t="str">
        <f aca="false">IF(B406="","",IF(J406="Sí","Multa aplicada",IF(J406="No","Sin multa",IF(H406="Sí","Descargo enviado","Pendiente"))))</f>
        <v/>
      </c>
    </row>
    <row r="407" customFormat="false" ht="15" hidden="false" customHeight="false" outlineLevel="0" collapsed="false">
      <c r="A407" s="6" t="str">
        <f aca="false">IF('Carga Vigilador'!A407="","",'Carga Vigilador'!A407)</f>
        <v/>
      </c>
      <c r="B407" s="11" t="str">
        <f aca="false">IF('Carga Vigilador'!B407="","",'Carga Vigilador'!B407)</f>
        <v/>
      </c>
      <c r="C407" s="12" t="str">
        <f aca="false">IF('Carga Vigilador'!C407="","",'Carga Vigilador'!C407)</f>
        <v/>
      </c>
      <c r="D407" s="13" t="str">
        <f aca="false">IF('Carga Vigilador'!D407="","",'Carga Vigilador'!D407)</f>
        <v/>
      </c>
      <c r="E407" s="6" t="str">
        <f aca="false">IF('Carga Vigilador'!E407="","",'Carga Vigilador'!E407)</f>
        <v/>
      </c>
      <c r="F407" s="13" t="str">
        <f aca="false">IF('Carga Vigilador'!F407="","",'Carga Vigilador'!F407)</f>
        <v/>
      </c>
      <c r="G407" s="13" t="str">
        <f aca="false">IF('Carga Vigilador'!G407="","",'Carga Vigilador'!G407)</f>
        <v/>
      </c>
      <c r="H407" s="14"/>
      <c r="I407" s="15"/>
      <c r="J407" s="14"/>
      <c r="K407" s="15"/>
      <c r="L407" s="16"/>
      <c r="M407" s="17"/>
      <c r="N407" s="18" t="str">
        <f aca="false">IF(B407="","",IF(J407="Sí","Multa aplicada",IF(J407="No","Sin multa",IF(H407="Sí","Descargo enviado","Pendiente"))))</f>
        <v/>
      </c>
    </row>
    <row r="408" customFormat="false" ht="15" hidden="false" customHeight="false" outlineLevel="0" collapsed="false">
      <c r="A408" s="6" t="str">
        <f aca="false">IF('Carga Vigilador'!A408="","",'Carga Vigilador'!A408)</f>
        <v/>
      </c>
      <c r="B408" s="11" t="str">
        <f aca="false">IF('Carga Vigilador'!B408="","",'Carga Vigilador'!B408)</f>
        <v/>
      </c>
      <c r="C408" s="12" t="str">
        <f aca="false">IF('Carga Vigilador'!C408="","",'Carga Vigilador'!C408)</f>
        <v/>
      </c>
      <c r="D408" s="13" t="str">
        <f aca="false">IF('Carga Vigilador'!D408="","",'Carga Vigilador'!D408)</f>
        <v/>
      </c>
      <c r="E408" s="6" t="str">
        <f aca="false">IF('Carga Vigilador'!E408="","",'Carga Vigilador'!E408)</f>
        <v/>
      </c>
      <c r="F408" s="13" t="str">
        <f aca="false">IF('Carga Vigilador'!F408="","",'Carga Vigilador'!F408)</f>
        <v/>
      </c>
      <c r="G408" s="13" t="str">
        <f aca="false">IF('Carga Vigilador'!G408="","",'Carga Vigilador'!G408)</f>
        <v/>
      </c>
      <c r="H408" s="14"/>
      <c r="I408" s="15"/>
      <c r="J408" s="14"/>
      <c r="K408" s="15"/>
      <c r="L408" s="16"/>
      <c r="M408" s="17"/>
      <c r="N408" s="18" t="str">
        <f aca="false">IF(B408="","",IF(J408="Sí","Multa aplicada",IF(J408="No","Sin multa",IF(H408="Sí","Descargo enviado","Pendiente"))))</f>
        <v/>
      </c>
    </row>
    <row r="409" customFormat="false" ht="15" hidden="false" customHeight="false" outlineLevel="0" collapsed="false">
      <c r="A409" s="6" t="str">
        <f aca="false">IF('Carga Vigilador'!A409="","",'Carga Vigilador'!A409)</f>
        <v/>
      </c>
      <c r="B409" s="11" t="str">
        <f aca="false">IF('Carga Vigilador'!B409="","",'Carga Vigilador'!B409)</f>
        <v/>
      </c>
      <c r="C409" s="12" t="str">
        <f aca="false">IF('Carga Vigilador'!C409="","",'Carga Vigilador'!C409)</f>
        <v/>
      </c>
      <c r="D409" s="13" t="str">
        <f aca="false">IF('Carga Vigilador'!D409="","",'Carga Vigilador'!D409)</f>
        <v/>
      </c>
      <c r="E409" s="6" t="str">
        <f aca="false">IF('Carga Vigilador'!E409="","",'Carga Vigilador'!E409)</f>
        <v/>
      </c>
      <c r="F409" s="13" t="str">
        <f aca="false">IF('Carga Vigilador'!F409="","",'Carga Vigilador'!F409)</f>
        <v/>
      </c>
      <c r="G409" s="13" t="str">
        <f aca="false">IF('Carga Vigilador'!G409="","",'Carga Vigilador'!G409)</f>
        <v/>
      </c>
      <c r="H409" s="14"/>
      <c r="I409" s="15"/>
      <c r="J409" s="14"/>
      <c r="K409" s="15"/>
      <c r="L409" s="16"/>
      <c r="M409" s="17"/>
      <c r="N409" s="18" t="str">
        <f aca="false">IF(B409="","",IF(J409="Sí","Multa aplicada",IF(J409="No","Sin multa",IF(H409="Sí","Descargo enviado","Pendiente"))))</f>
        <v/>
      </c>
    </row>
    <row r="410" customFormat="false" ht="15" hidden="false" customHeight="false" outlineLevel="0" collapsed="false">
      <c r="A410" s="6" t="str">
        <f aca="false">IF('Carga Vigilador'!A410="","",'Carga Vigilador'!A410)</f>
        <v/>
      </c>
      <c r="B410" s="11" t="str">
        <f aca="false">IF('Carga Vigilador'!B410="","",'Carga Vigilador'!B410)</f>
        <v/>
      </c>
      <c r="C410" s="12" t="str">
        <f aca="false">IF('Carga Vigilador'!C410="","",'Carga Vigilador'!C410)</f>
        <v/>
      </c>
      <c r="D410" s="13" t="str">
        <f aca="false">IF('Carga Vigilador'!D410="","",'Carga Vigilador'!D410)</f>
        <v/>
      </c>
      <c r="E410" s="6" t="str">
        <f aca="false">IF('Carga Vigilador'!E410="","",'Carga Vigilador'!E410)</f>
        <v/>
      </c>
      <c r="F410" s="13" t="str">
        <f aca="false">IF('Carga Vigilador'!F410="","",'Carga Vigilador'!F410)</f>
        <v/>
      </c>
      <c r="G410" s="13" t="str">
        <f aca="false">IF('Carga Vigilador'!G410="","",'Carga Vigilador'!G410)</f>
        <v/>
      </c>
      <c r="H410" s="14"/>
      <c r="I410" s="15"/>
      <c r="J410" s="14"/>
      <c r="K410" s="15"/>
      <c r="L410" s="16"/>
      <c r="M410" s="17"/>
      <c r="N410" s="18" t="str">
        <f aca="false">IF(B410="","",IF(J410="Sí","Multa aplicada",IF(J410="No","Sin multa",IF(H410="Sí","Descargo enviado","Pendiente"))))</f>
        <v/>
      </c>
    </row>
    <row r="411" customFormat="false" ht="15" hidden="false" customHeight="false" outlineLevel="0" collapsed="false">
      <c r="A411" s="6" t="str">
        <f aca="false">IF('Carga Vigilador'!A411="","",'Carga Vigilador'!A411)</f>
        <v/>
      </c>
      <c r="B411" s="11" t="str">
        <f aca="false">IF('Carga Vigilador'!B411="","",'Carga Vigilador'!B411)</f>
        <v/>
      </c>
      <c r="C411" s="12" t="str">
        <f aca="false">IF('Carga Vigilador'!C411="","",'Carga Vigilador'!C411)</f>
        <v/>
      </c>
      <c r="D411" s="13" t="str">
        <f aca="false">IF('Carga Vigilador'!D411="","",'Carga Vigilador'!D411)</f>
        <v/>
      </c>
      <c r="E411" s="6" t="str">
        <f aca="false">IF('Carga Vigilador'!E411="","",'Carga Vigilador'!E411)</f>
        <v/>
      </c>
      <c r="F411" s="13" t="str">
        <f aca="false">IF('Carga Vigilador'!F411="","",'Carga Vigilador'!F411)</f>
        <v/>
      </c>
      <c r="G411" s="13" t="str">
        <f aca="false">IF('Carga Vigilador'!G411="","",'Carga Vigilador'!G411)</f>
        <v/>
      </c>
      <c r="H411" s="14"/>
      <c r="I411" s="15"/>
      <c r="J411" s="14"/>
      <c r="K411" s="15"/>
      <c r="L411" s="16"/>
      <c r="M411" s="17"/>
      <c r="N411" s="18" t="str">
        <f aca="false">IF(B411="","",IF(J411="Sí","Multa aplicada",IF(J411="No","Sin multa",IF(H411="Sí","Descargo enviado","Pendiente"))))</f>
        <v/>
      </c>
    </row>
    <row r="412" customFormat="false" ht="15" hidden="false" customHeight="false" outlineLevel="0" collapsed="false">
      <c r="A412" s="6" t="str">
        <f aca="false">IF('Carga Vigilador'!A412="","",'Carga Vigilador'!A412)</f>
        <v/>
      </c>
      <c r="B412" s="11" t="str">
        <f aca="false">IF('Carga Vigilador'!B412="","",'Carga Vigilador'!B412)</f>
        <v/>
      </c>
      <c r="C412" s="12" t="str">
        <f aca="false">IF('Carga Vigilador'!C412="","",'Carga Vigilador'!C412)</f>
        <v/>
      </c>
      <c r="D412" s="13" t="str">
        <f aca="false">IF('Carga Vigilador'!D412="","",'Carga Vigilador'!D412)</f>
        <v/>
      </c>
      <c r="E412" s="6" t="str">
        <f aca="false">IF('Carga Vigilador'!E412="","",'Carga Vigilador'!E412)</f>
        <v/>
      </c>
      <c r="F412" s="13" t="str">
        <f aca="false">IF('Carga Vigilador'!F412="","",'Carga Vigilador'!F412)</f>
        <v/>
      </c>
      <c r="G412" s="13" t="str">
        <f aca="false">IF('Carga Vigilador'!G412="","",'Carga Vigilador'!G412)</f>
        <v/>
      </c>
      <c r="H412" s="14"/>
      <c r="I412" s="15"/>
      <c r="J412" s="14"/>
      <c r="K412" s="15"/>
      <c r="L412" s="16"/>
      <c r="M412" s="17"/>
      <c r="N412" s="18" t="str">
        <f aca="false">IF(B412="","",IF(J412="Sí","Multa aplicada",IF(J412="No","Sin multa",IF(H412="Sí","Descargo enviado","Pendiente"))))</f>
        <v/>
      </c>
    </row>
    <row r="413" customFormat="false" ht="15" hidden="false" customHeight="false" outlineLevel="0" collapsed="false">
      <c r="A413" s="6" t="str">
        <f aca="false">IF('Carga Vigilador'!A413="","",'Carga Vigilador'!A413)</f>
        <v/>
      </c>
      <c r="B413" s="11" t="str">
        <f aca="false">IF('Carga Vigilador'!B413="","",'Carga Vigilador'!B413)</f>
        <v/>
      </c>
      <c r="C413" s="12" t="str">
        <f aca="false">IF('Carga Vigilador'!C413="","",'Carga Vigilador'!C413)</f>
        <v/>
      </c>
      <c r="D413" s="13" t="str">
        <f aca="false">IF('Carga Vigilador'!D413="","",'Carga Vigilador'!D413)</f>
        <v/>
      </c>
      <c r="E413" s="6" t="str">
        <f aca="false">IF('Carga Vigilador'!E413="","",'Carga Vigilador'!E413)</f>
        <v/>
      </c>
      <c r="F413" s="13" t="str">
        <f aca="false">IF('Carga Vigilador'!F413="","",'Carga Vigilador'!F413)</f>
        <v/>
      </c>
      <c r="G413" s="13" t="str">
        <f aca="false">IF('Carga Vigilador'!G413="","",'Carga Vigilador'!G413)</f>
        <v/>
      </c>
      <c r="H413" s="14"/>
      <c r="I413" s="15"/>
      <c r="J413" s="14"/>
      <c r="K413" s="15"/>
      <c r="L413" s="16"/>
      <c r="M413" s="17"/>
      <c r="N413" s="18" t="str">
        <f aca="false">IF(B413="","",IF(J413="Sí","Multa aplicada",IF(J413="No","Sin multa",IF(H413="Sí","Descargo enviado","Pendiente"))))</f>
        <v/>
      </c>
    </row>
    <row r="414" customFormat="false" ht="15" hidden="false" customHeight="false" outlineLevel="0" collapsed="false">
      <c r="A414" s="6" t="str">
        <f aca="false">IF('Carga Vigilador'!A414="","",'Carga Vigilador'!A414)</f>
        <v/>
      </c>
      <c r="B414" s="11" t="str">
        <f aca="false">IF('Carga Vigilador'!B414="","",'Carga Vigilador'!B414)</f>
        <v/>
      </c>
      <c r="C414" s="12" t="str">
        <f aca="false">IF('Carga Vigilador'!C414="","",'Carga Vigilador'!C414)</f>
        <v/>
      </c>
      <c r="D414" s="13" t="str">
        <f aca="false">IF('Carga Vigilador'!D414="","",'Carga Vigilador'!D414)</f>
        <v/>
      </c>
      <c r="E414" s="6" t="str">
        <f aca="false">IF('Carga Vigilador'!E414="","",'Carga Vigilador'!E414)</f>
        <v/>
      </c>
      <c r="F414" s="13" t="str">
        <f aca="false">IF('Carga Vigilador'!F414="","",'Carga Vigilador'!F414)</f>
        <v/>
      </c>
      <c r="G414" s="13" t="str">
        <f aca="false">IF('Carga Vigilador'!G414="","",'Carga Vigilador'!G414)</f>
        <v/>
      </c>
      <c r="H414" s="14"/>
      <c r="I414" s="15"/>
      <c r="J414" s="14"/>
      <c r="K414" s="15"/>
      <c r="L414" s="16"/>
      <c r="M414" s="17"/>
      <c r="N414" s="18" t="str">
        <f aca="false">IF(B414="","",IF(J414="Sí","Multa aplicada",IF(J414="No","Sin multa",IF(H414="Sí","Descargo enviado","Pendiente"))))</f>
        <v/>
      </c>
    </row>
    <row r="415" customFormat="false" ht="15" hidden="false" customHeight="false" outlineLevel="0" collapsed="false">
      <c r="A415" s="6" t="str">
        <f aca="false">IF('Carga Vigilador'!A415="","",'Carga Vigilador'!A415)</f>
        <v/>
      </c>
      <c r="B415" s="11" t="str">
        <f aca="false">IF('Carga Vigilador'!B415="","",'Carga Vigilador'!B415)</f>
        <v/>
      </c>
      <c r="C415" s="12" t="str">
        <f aca="false">IF('Carga Vigilador'!C415="","",'Carga Vigilador'!C415)</f>
        <v/>
      </c>
      <c r="D415" s="13" t="str">
        <f aca="false">IF('Carga Vigilador'!D415="","",'Carga Vigilador'!D415)</f>
        <v/>
      </c>
      <c r="E415" s="6" t="str">
        <f aca="false">IF('Carga Vigilador'!E415="","",'Carga Vigilador'!E415)</f>
        <v/>
      </c>
      <c r="F415" s="13" t="str">
        <f aca="false">IF('Carga Vigilador'!F415="","",'Carga Vigilador'!F415)</f>
        <v/>
      </c>
      <c r="G415" s="13" t="str">
        <f aca="false">IF('Carga Vigilador'!G415="","",'Carga Vigilador'!G415)</f>
        <v/>
      </c>
      <c r="H415" s="14"/>
      <c r="I415" s="15"/>
      <c r="J415" s="14"/>
      <c r="K415" s="15"/>
      <c r="L415" s="16"/>
      <c r="M415" s="17"/>
      <c r="N415" s="18" t="str">
        <f aca="false">IF(B415="","",IF(J415="Sí","Multa aplicada",IF(J415="No","Sin multa",IF(H415="Sí","Descargo enviado","Pendiente"))))</f>
        <v/>
      </c>
    </row>
    <row r="416" customFormat="false" ht="15" hidden="false" customHeight="false" outlineLevel="0" collapsed="false">
      <c r="A416" s="6" t="str">
        <f aca="false">IF('Carga Vigilador'!A416="","",'Carga Vigilador'!A416)</f>
        <v/>
      </c>
      <c r="B416" s="11" t="str">
        <f aca="false">IF('Carga Vigilador'!B416="","",'Carga Vigilador'!B416)</f>
        <v/>
      </c>
      <c r="C416" s="12" t="str">
        <f aca="false">IF('Carga Vigilador'!C416="","",'Carga Vigilador'!C416)</f>
        <v/>
      </c>
      <c r="D416" s="13" t="str">
        <f aca="false">IF('Carga Vigilador'!D416="","",'Carga Vigilador'!D416)</f>
        <v/>
      </c>
      <c r="E416" s="6" t="str">
        <f aca="false">IF('Carga Vigilador'!E416="","",'Carga Vigilador'!E416)</f>
        <v/>
      </c>
      <c r="F416" s="13" t="str">
        <f aca="false">IF('Carga Vigilador'!F416="","",'Carga Vigilador'!F416)</f>
        <v/>
      </c>
      <c r="G416" s="13" t="str">
        <f aca="false">IF('Carga Vigilador'!G416="","",'Carga Vigilador'!G416)</f>
        <v/>
      </c>
      <c r="H416" s="14"/>
      <c r="I416" s="15"/>
      <c r="J416" s="14"/>
      <c r="K416" s="15"/>
      <c r="L416" s="16"/>
      <c r="M416" s="17"/>
      <c r="N416" s="18" t="str">
        <f aca="false">IF(B416="","",IF(J416="Sí","Multa aplicada",IF(J416="No","Sin multa",IF(H416="Sí","Descargo enviado","Pendiente"))))</f>
        <v/>
      </c>
    </row>
    <row r="417" customFormat="false" ht="15" hidden="false" customHeight="false" outlineLevel="0" collapsed="false">
      <c r="A417" s="6" t="str">
        <f aca="false">IF('Carga Vigilador'!A417="","",'Carga Vigilador'!A417)</f>
        <v/>
      </c>
      <c r="B417" s="11" t="str">
        <f aca="false">IF('Carga Vigilador'!B417="","",'Carga Vigilador'!B417)</f>
        <v/>
      </c>
      <c r="C417" s="12" t="str">
        <f aca="false">IF('Carga Vigilador'!C417="","",'Carga Vigilador'!C417)</f>
        <v/>
      </c>
      <c r="D417" s="13" t="str">
        <f aca="false">IF('Carga Vigilador'!D417="","",'Carga Vigilador'!D417)</f>
        <v/>
      </c>
      <c r="E417" s="6" t="str">
        <f aca="false">IF('Carga Vigilador'!E417="","",'Carga Vigilador'!E417)</f>
        <v/>
      </c>
      <c r="F417" s="13" t="str">
        <f aca="false">IF('Carga Vigilador'!F417="","",'Carga Vigilador'!F417)</f>
        <v/>
      </c>
      <c r="G417" s="13" t="str">
        <f aca="false">IF('Carga Vigilador'!G417="","",'Carga Vigilador'!G417)</f>
        <v/>
      </c>
      <c r="H417" s="14"/>
      <c r="I417" s="15"/>
      <c r="J417" s="14"/>
      <c r="K417" s="15"/>
      <c r="L417" s="16"/>
      <c r="M417" s="17"/>
      <c r="N417" s="18" t="str">
        <f aca="false">IF(B417="","",IF(J417="Sí","Multa aplicada",IF(J417="No","Sin multa",IF(H417="Sí","Descargo enviado","Pendiente"))))</f>
        <v/>
      </c>
    </row>
    <row r="418" customFormat="false" ht="15" hidden="false" customHeight="false" outlineLevel="0" collapsed="false">
      <c r="A418" s="6" t="str">
        <f aca="false">IF('Carga Vigilador'!A418="","",'Carga Vigilador'!A418)</f>
        <v/>
      </c>
      <c r="B418" s="11" t="str">
        <f aca="false">IF('Carga Vigilador'!B418="","",'Carga Vigilador'!B418)</f>
        <v/>
      </c>
      <c r="C418" s="12" t="str">
        <f aca="false">IF('Carga Vigilador'!C418="","",'Carga Vigilador'!C418)</f>
        <v/>
      </c>
      <c r="D418" s="13" t="str">
        <f aca="false">IF('Carga Vigilador'!D418="","",'Carga Vigilador'!D418)</f>
        <v/>
      </c>
      <c r="E418" s="6" t="str">
        <f aca="false">IF('Carga Vigilador'!E418="","",'Carga Vigilador'!E418)</f>
        <v/>
      </c>
      <c r="F418" s="13" t="str">
        <f aca="false">IF('Carga Vigilador'!F418="","",'Carga Vigilador'!F418)</f>
        <v/>
      </c>
      <c r="G418" s="13" t="str">
        <f aca="false">IF('Carga Vigilador'!G418="","",'Carga Vigilador'!G418)</f>
        <v/>
      </c>
      <c r="H418" s="14"/>
      <c r="I418" s="15"/>
      <c r="J418" s="14"/>
      <c r="K418" s="15"/>
      <c r="L418" s="16"/>
      <c r="M418" s="17"/>
      <c r="N418" s="18" t="str">
        <f aca="false">IF(B418="","",IF(J418="Sí","Multa aplicada",IF(J418="No","Sin multa",IF(H418="Sí","Descargo enviado","Pendiente"))))</f>
        <v/>
      </c>
    </row>
    <row r="419" customFormat="false" ht="15" hidden="false" customHeight="false" outlineLevel="0" collapsed="false">
      <c r="A419" s="6" t="str">
        <f aca="false">IF('Carga Vigilador'!A419="","",'Carga Vigilador'!A419)</f>
        <v/>
      </c>
      <c r="B419" s="11" t="str">
        <f aca="false">IF('Carga Vigilador'!B419="","",'Carga Vigilador'!B419)</f>
        <v/>
      </c>
      <c r="C419" s="12" t="str">
        <f aca="false">IF('Carga Vigilador'!C419="","",'Carga Vigilador'!C419)</f>
        <v/>
      </c>
      <c r="D419" s="13" t="str">
        <f aca="false">IF('Carga Vigilador'!D419="","",'Carga Vigilador'!D419)</f>
        <v/>
      </c>
      <c r="E419" s="6" t="str">
        <f aca="false">IF('Carga Vigilador'!E419="","",'Carga Vigilador'!E419)</f>
        <v/>
      </c>
      <c r="F419" s="13" t="str">
        <f aca="false">IF('Carga Vigilador'!F419="","",'Carga Vigilador'!F419)</f>
        <v/>
      </c>
      <c r="G419" s="13" t="str">
        <f aca="false">IF('Carga Vigilador'!G419="","",'Carga Vigilador'!G419)</f>
        <v/>
      </c>
      <c r="H419" s="14"/>
      <c r="I419" s="15"/>
      <c r="J419" s="14"/>
      <c r="K419" s="15"/>
      <c r="L419" s="16"/>
      <c r="M419" s="17"/>
      <c r="N419" s="18" t="str">
        <f aca="false">IF(B419="","",IF(J419="Sí","Multa aplicada",IF(J419="No","Sin multa",IF(H419="Sí","Descargo enviado","Pendiente"))))</f>
        <v/>
      </c>
    </row>
    <row r="420" customFormat="false" ht="15" hidden="false" customHeight="false" outlineLevel="0" collapsed="false">
      <c r="A420" s="6" t="str">
        <f aca="false">IF('Carga Vigilador'!A420="","",'Carga Vigilador'!A420)</f>
        <v/>
      </c>
      <c r="B420" s="11" t="str">
        <f aca="false">IF('Carga Vigilador'!B420="","",'Carga Vigilador'!B420)</f>
        <v/>
      </c>
      <c r="C420" s="12" t="str">
        <f aca="false">IF('Carga Vigilador'!C420="","",'Carga Vigilador'!C420)</f>
        <v/>
      </c>
      <c r="D420" s="13" t="str">
        <f aca="false">IF('Carga Vigilador'!D420="","",'Carga Vigilador'!D420)</f>
        <v/>
      </c>
      <c r="E420" s="6" t="str">
        <f aca="false">IF('Carga Vigilador'!E420="","",'Carga Vigilador'!E420)</f>
        <v/>
      </c>
      <c r="F420" s="13" t="str">
        <f aca="false">IF('Carga Vigilador'!F420="","",'Carga Vigilador'!F420)</f>
        <v/>
      </c>
      <c r="G420" s="13" t="str">
        <f aca="false">IF('Carga Vigilador'!G420="","",'Carga Vigilador'!G420)</f>
        <v/>
      </c>
      <c r="H420" s="14"/>
      <c r="I420" s="15"/>
      <c r="J420" s="14"/>
      <c r="K420" s="15"/>
      <c r="L420" s="16"/>
      <c r="M420" s="17"/>
      <c r="N420" s="18" t="str">
        <f aca="false">IF(B420="","",IF(J420="Sí","Multa aplicada",IF(J420="No","Sin multa",IF(H420="Sí","Descargo enviado","Pendiente"))))</f>
        <v/>
      </c>
    </row>
    <row r="421" customFormat="false" ht="15" hidden="false" customHeight="false" outlineLevel="0" collapsed="false">
      <c r="A421" s="6" t="str">
        <f aca="false">IF('Carga Vigilador'!A421="","",'Carga Vigilador'!A421)</f>
        <v/>
      </c>
      <c r="B421" s="11" t="str">
        <f aca="false">IF('Carga Vigilador'!B421="","",'Carga Vigilador'!B421)</f>
        <v/>
      </c>
      <c r="C421" s="12" t="str">
        <f aca="false">IF('Carga Vigilador'!C421="","",'Carga Vigilador'!C421)</f>
        <v/>
      </c>
      <c r="D421" s="13" t="str">
        <f aca="false">IF('Carga Vigilador'!D421="","",'Carga Vigilador'!D421)</f>
        <v/>
      </c>
      <c r="E421" s="6" t="str">
        <f aca="false">IF('Carga Vigilador'!E421="","",'Carga Vigilador'!E421)</f>
        <v/>
      </c>
      <c r="F421" s="13" t="str">
        <f aca="false">IF('Carga Vigilador'!F421="","",'Carga Vigilador'!F421)</f>
        <v/>
      </c>
      <c r="G421" s="13" t="str">
        <f aca="false">IF('Carga Vigilador'!G421="","",'Carga Vigilador'!G421)</f>
        <v/>
      </c>
      <c r="H421" s="14"/>
      <c r="I421" s="15"/>
      <c r="J421" s="14"/>
      <c r="K421" s="15"/>
      <c r="L421" s="16"/>
      <c r="M421" s="17"/>
      <c r="N421" s="18" t="str">
        <f aca="false">IF(B421="","",IF(J421="Sí","Multa aplicada",IF(J421="No","Sin multa",IF(H421="Sí","Descargo enviado","Pendiente"))))</f>
        <v/>
      </c>
    </row>
    <row r="422" customFormat="false" ht="15" hidden="false" customHeight="false" outlineLevel="0" collapsed="false">
      <c r="A422" s="6" t="str">
        <f aca="false">IF('Carga Vigilador'!A422="","",'Carga Vigilador'!A422)</f>
        <v/>
      </c>
      <c r="B422" s="11" t="str">
        <f aca="false">IF('Carga Vigilador'!B422="","",'Carga Vigilador'!B422)</f>
        <v/>
      </c>
      <c r="C422" s="12" t="str">
        <f aca="false">IF('Carga Vigilador'!C422="","",'Carga Vigilador'!C422)</f>
        <v/>
      </c>
      <c r="D422" s="13" t="str">
        <f aca="false">IF('Carga Vigilador'!D422="","",'Carga Vigilador'!D422)</f>
        <v/>
      </c>
      <c r="E422" s="6" t="str">
        <f aca="false">IF('Carga Vigilador'!E422="","",'Carga Vigilador'!E422)</f>
        <v/>
      </c>
      <c r="F422" s="13" t="str">
        <f aca="false">IF('Carga Vigilador'!F422="","",'Carga Vigilador'!F422)</f>
        <v/>
      </c>
      <c r="G422" s="13" t="str">
        <f aca="false">IF('Carga Vigilador'!G422="","",'Carga Vigilador'!G422)</f>
        <v/>
      </c>
      <c r="H422" s="14"/>
      <c r="I422" s="15"/>
      <c r="J422" s="14"/>
      <c r="K422" s="15"/>
      <c r="L422" s="16"/>
      <c r="M422" s="17"/>
      <c r="N422" s="18" t="str">
        <f aca="false">IF(B422="","",IF(J422="Sí","Multa aplicada",IF(J422="No","Sin multa",IF(H422="Sí","Descargo enviado","Pendiente"))))</f>
        <v/>
      </c>
    </row>
    <row r="423" customFormat="false" ht="15" hidden="false" customHeight="false" outlineLevel="0" collapsed="false">
      <c r="A423" s="6" t="str">
        <f aca="false">IF('Carga Vigilador'!A423="","",'Carga Vigilador'!A423)</f>
        <v/>
      </c>
      <c r="B423" s="11" t="str">
        <f aca="false">IF('Carga Vigilador'!B423="","",'Carga Vigilador'!B423)</f>
        <v/>
      </c>
      <c r="C423" s="12" t="str">
        <f aca="false">IF('Carga Vigilador'!C423="","",'Carga Vigilador'!C423)</f>
        <v/>
      </c>
      <c r="D423" s="13" t="str">
        <f aca="false">IF('Carga Vigilador'!D423="","",'Carga Vigilador'!D423)</f>
        <v/>
      </c>
      <c r="E423" s="6" t="str">
        <f aca="false">IF('Carga Vigilador'!E423="","",'Carga Vigilador'!E423)</f>
        <v/>
      </c>
      <c r="F423" s="13" t="str">
        <f aca="false">IF('Carga Vigilador'!F423="","",'Carga Vigilador'!F423)</f>
        <v/>
      </c>
      <c r="G423" s="13" t="str">
        <f aca="false">IF('Carga Vigilador'!G423="","",'Carga Vigilador'!G423)</f>
        <v/>
      </c>
      <c r="H423" s="14"/>
      <c r="I423" s="15"/>
      <c r="J423" s="14"/>
      <c r="K423" s="15"/>
      <c r="L423" s="16"/>
      <c r="M423" s="17"/>
      <c r="N423" s="18" t="str">
        <f aca="false">IF(B423="","",IF(J423="Sí","Multa aplicada",IF(J423="No","Sin multa",IF(H423="Sí","Descargo enviado","Pendiente"))))</f>
        <v/>
      </c>
    </row>
    <row r="424" customFormat="false" ht="15" hidden="false" customHeight="false" outlineLevel="0" collapsed="false">
      <c r="A424" s="6" t="str">
        <f aca="false">IF('Carga Vigilador'!A424="","",'Carga Vigilador'!A424)</f>
        <v/>
      </c>
      <c r="B424" s="11" t="str">
        <f aca="false">IF('Carga Vigilador'!B424="","",'Carga Vigilador'!B424)</f>
        <v/>
      </c>
      <c r="C424" s="12" t="str">
        <f aca="false">IF('Carga Vigilador'!C424="","",'Carga Vigilador'!C424)</f>
        <v/>
      </c>
      <c r="D424" s="13" t="str">
        <f aca="false">IF('Carga Vigilador'!D424="","",'Carga Vigilador'!D424)</f>
        <v/>
      </c>
      <c r="E424" s="6" t="str">
        <f aca="false">IF('Carga Vigilador'!E424="","",'Carga Vigilador'!E424)</f>
        <v/>
      </c>
      <c r="F424" s="13" t="str">
        <f aca="false">IF('Carga Vigilador'!F424="","",'Carga Vigilador'!F424)</f>
        <v/>
      </c>
      <c r="G424" s="13" t="str">
        <f aca="false">IF('Carga Vigilador'!G424="","",'Carga Vigilador'!G424)</f>
        <v/>
      </c>
      <c r="H424" s="14"/>
      <c r="I424" s="15"/>
      <c r="J424" s="14"/>
      <c r="K424" s="15"/>
      <c r="L424" s="16"/>
      <c r="M424" s="17"/>
      <c r="N424" s="18" t="str">
        <f aca="false">IF(B424="","",IF(J424="Sí","Multa aplicada",IF(J424="No","Sin multa",IF(H424="Sí","Descargo enviado","Pendiente"))))</f>
        <v/>
      </c>
    </row>
    <row r="425" customFormat="false" ht="15" hidden="false" customHeight="false" outlineLevel="0" collapsed="false">
      <c r="A425" s="6" t="str">
        <f aca="false">IF('Carga Vigilador'!A425="","",'Carga Vigilador'!A425)</f>
        <v/>
      </c>
      <c r="B425" s="11" t="str">
        <f aca="false">IF('Carga Vigilador'!B425="","",'Carga Vigilador'!B425)</f>
        <v/>
      </c>
      <c r="C425" s="12" t="str">
        <f aca="false">IF('Carga Vigilador'!C425="","",'Carga Vigilador'!C425)</f>
        <v/>
      </c>
      <c r="D425" s="13" t="str">
        <f aca="false">IF('Carga Vigilador'!D425="","",'Carga Vigilador'!D425)</f>
        <v/>
      </c>
      <c r="E425" s="6" t="str">
        <f aca="false">IF('Carga Vigilador'!E425="","",'Carga Vigilador'!E425)</f>
        <v/>
      </c>
      <c r="F425" s="13" t="str">
        <f aca="false">IF('Carga Vigilador'!F425="","",'Carga Vigilador'!F425)</f>
        <v/>
      </c>
      <c r="G425" s="13" t="str">
        <f aca="false">IF('Carga Vigilador'!G425="","",'Carga Vigilador'!G425)</f>
        <v/>
      </c>
      <c r="H425" s="14"/>
      <c r="I425" s="15"/>
      <c r="J425" s="14"/>
      <c r="K425" s="15"/>
      <c r="L425" s="16"/>
      <c r="M425" s="17"/>
      <c r="N425" s="18" t="str">
        <f aca="false">IF(B425="","",IF(J425="Sí","Multa aplicada",IF(J425="No","Sin multa",IF(H425="Sí","Descargo enviado","Pendiente"))))</f>
        <v/>
      </c>
    </row>
    <row r="426" customFormat="false" ht="15" hidden="false" customHeight="false" outlineLevel="0" collapsed="false">
      <c r="A426" s="6" t="str">
        <f aca="false">IF('Carga Vigilador'!A426="","",'Carga Vigilador'!A426)</f>
        <v/>
      </c>
      <c r="B426" s="11" t="str">
        <f aca="false">IF('Carga Vigilador'!B426="","",'Carga Vigilador'!B426)</f>
        <v/>
      </c>
      <c r="C426" s="12" t="str">
        <f aca="false">IF('Carga Vigilador'!C426="","",'Carga Vigilador'!C426)</f>
        <v/>
      </c>
      <c r="D426" s="13" t="str">
        <f aca="false">IF('Carga Vigilador'!D426="","",'Carga Vigilador'!D426)</f>
        <v/>
      </c>
      <c r="E426" s="6" t="str">
        <f aca="false">IF('Carga Vigilador'!E426="","",'Carga Vigilador'!E426)</f>
        <v/>
      </c>
      <c r="F426" s="13" t="str">
        <f aca="false">IF('Carga Vigilador'!F426="","",'Carga Vigilador'!F426)</f>
        <v/>
      </c>
      <c r="G426" s="13" t="str">
        <f aca="false">IF('Carga Vigilador'!G426="","",'Carga Vigilador'!G426)</f>
        <v/>
      </c>
      <c r="H426" s="14"/>
      <c r="I426" s="15"/>
      <c r="J426" s="14"/>
      <c r="K426" s="15"/>
      <c r="L426" s="16"/>
      <c r="M426" s="17"/>
      <c r="N426" s="18" t="str">
        <f aca="false">IF(B426="","",IF(J426="Sí","Multa aplicada",IF(J426="No","Sin multa",IF(H426="Sí","Descargo enviado","Pendiente"))))</f>
        <v/>
      </c>
    </row>
    <row r="427" customFormat="false" ht="15" hidden="false" customHeight="false" outlineLevel="0" collapsed="false">
      <c r="A427" s="6" t="str">
        <f aca="false">IF('Carga Vigilador'!A427="","",'Carga Vigilador'!A427)</f>
        <v/>
      </c>
      <c r="B427" s="11" t="str">
        <f aca="false">IF('Carga Vigilador'!B427="","",'Carga Vigilador'!B427)</f>
        <v/>
      </c>
      <c r="C427" s="12" t="str">
        <f aca="false">IF('Carga Vigilador'!C427="","",'Carga Vigilador'!C427)</f>
        <v/>
      </c>
      <c r="D427" s="13" t="str">
        <f aca="false">IF('Carga Vigilador'!D427="","",'Carga Vigilador'!D427)</f>
        <v/>
      </c>
      <c r="E427" s="6" t="str">
        <f aca="false">IF('Carga Vigilador'!E427="","",'Carga Vigilador'!E427)</f>
        <v/>
      </c>
      <c r="F427" s="13" t="str">
        <f aca="false">IF('Carga Vigilador'!F427="","",'Carga Vigilador'!F427)</f>
        <v/>
      </c>
      <c r="G427" s="13" t="str">
        <f aca="false">IF('Carga Vigilador'!G427="","",'Carga Vigilador'!G427)</f>
        <v/>
      </c>
      <c r="H427" s="14"/>
      <c r="I427" s="15"/>
      <c r="J427" s="14"/>
      <c r="K427" s="15"/>
      <c r="L427" s="16"/>
      <c r="M427" s="17"/>
      <c r="N427" s="18" t="str">
        <f aca="false">IF(B427="","",IF(J427="Sí","Multa aplicada",IF(J427="No","Sin multa",IF(H427="Sí","Descargo enviado","Pendiente"))))</f>
        <v/>
      </c>
    </row>
    <row r="428" customFormat="false" ht="15" hidden="false" customHeight="false" outlineLevel="0" collapsed="false">
      <c r="A428" s="6" t="str">
        <f aca="false">IF('Carga Vigilador'!A428="","",'Carga Vigilador'!A428)</f>
        <v/>
      </c>
      <c r="B428" s="11" t="str">
        <f aca="false">IF('Carga Vigilador'!B428="","",'Carga Vigilador'!B428)</f>
        <v/>
      </c>
      <c r="C428" s="12" t="str">
        <f aca="false">IF('Carga Vigilador'!C428="","",'Carga Vigilador'!C428)</f>
        <v/>
      </c>
      <c r="D428" s="13" t="str">
        <f aca="false">IF('Carga Vigilador'!D428="","",'Carga Vigilador'!D428)</f>
        <v/>
      </c>
      <c r="E428" s="6" t="str">
        <f aca="false">IF('Carga Vigilador'!E428="","",'Carga Vigilador'!E428)</f>
        <v/>
      </c>
      <c r="F428" s="13" t="str">
        <f aca="false">IF('Carga Vigilador'!F428="","",'Carga Vigilador'!F428)</f>
        <v/>
      </c>
      <c r="G428" s="13" t="str">
        <f aca="false">IF('Carga Vigilador'!G428="","",'Carga Vigilador'!G428)</f>
        <v/>
      </c>
      <c r="H428" s="14"/>
      <c r="I428" s="15"/>
      <c r="J428" s="14"/>
      <c r="K428" s="15"/>
      <c r="L428" s="16"/>
      <c r="M428" s="17"/>
      <c r="N428" s="18" t="str">
        <f aca="false">IF(B428="","",IF(J428="Sí","Multa aplicada",IF(J428="No","Sin multa",IF(H428="Sí","Descargo enviado","Pendiente"))))</f>
        <v/>
      </c>
    </row>
    <row r="429" customFormat="false" ht="15" hidden="false" customHeight="false" outlineLevel="0" collapsed="false">
      <c r="A429" s="6" t="str">
        <f aca="false">IF('Carga Vigilador'!A429="","",'Carga Vigilador'!A429)</f>
        <v/>
      </c>
      <c r="B429" s="11" t="str">
        <f aca="false">IF('Carga Vigilador'!B429="","",'Carga Vigilador'!B429)</f>
        <v/>
      </c>
      <c r="C429" s="12" t="str">
        <f aca="false">IF('Carga Vigilador'!C429="","",'Carga Vigilador'!C429)</f>
        <v/>
      </c>
      <c r="D429" s="13" t="str">
        <f aca="false">IF('Carga Vigilador'!D429="","",'Carga Vigilador'!D429)</f>
        <v/>
      </c>
      <c r="E429" s="6" t="str">
        <f aca="false">IF('Carga Vigilador'!E429="","",'Carga Vigilador'!E429)</f>
        <v/>
      </c>
      <c r="F429" s="13" t="str">
        <f aca="false">IF('Carga Vigilador'!F429="","",'Carga Vigilador'!F429)</f>
        <v/>
      </c>
      <c r="G429" s="13" t="str">
        <f aca="false">IF('Carga Vigilador'!G429="","",'Carga Vigilador'!G429)</f>
        <v/>
      </c>
      <c r="H429" s="14"/>
      <c r="I429" s="15"/>
      <c r="J429" s="14"/>
      <c r="K429" s="15"/>
      <c r="L429" s="16"/>
      <c r="M429" s="17"/>
      <c r="N429" s="18" t="str">
        <f aca="false">IF(B429="","",IF(J429="Sí","Multa aplicada",IF(J429="No","Sin multa",IF(H429="Sí","Descargo enviado","Pendiente"))))</f>
        <v/>
      </c>
    </row>
    <row r="430" customFormat="false" ht="15" hidden="false" customHeight="false" outlineLevel="0" collapsed="false">
      <c r="A430" s="6" t="str">
        <f aca="false">IF('Carga Vigilador'!A430="","",'Carga Vigilador'!A430)</f>
        <v/>
      </c>
      <c r="B430" s="11" t="str">
        <f aca="false">IF('Carga Vigilador'!B430="","",'Carga Vigilador'!B430)</f>
        <v/>
      </c>
      <c r="C430" s="12" t="str">
        <f aca="false">IF('Carga Vigilador'!C430="","",'Carga Vigilador'!C430)</f>
        <v/>
      </c>
      <c r="D430" s="13" t="str">
        <f aca="false">IF('Carga Vigilador'!D430="","",'Carga Vigilador'!D430)</f>
        <v/>
      </c>
      <c r="E430" s="6" t="str">
        <f aca="false">IF('Carga Vigilador'!E430="","",'Carga Vigilador'!E430)</f>
        <v/>
      </c>
      <c r="F430" s="13" t="str">
        <f aca="false">IF('Carga Vigilador'!F430="","",'Carga Vigilador'!F430)</f>
        <v/>
      </c>
      <c r="G430" s="13" t="str">
        <f aca="false">IF('Carga Vigilador'!G430="","",'Carga Vigilador'!G430)</f>
        <v/>
      </c>
      <c r="H430" s="14"/>
      <c r="I430" s="15"/>
      <c r="J430" s="14"/>
      <c r="K430" s="15"/>
      <c r="L430" s="16"/>
      <c r="M430" s="17"/>
      <c r="N430" s="18" t="str">
        <f aca="false">IF(B430="","",IF(J430="Sí","Multa aplicada",IF(J430="No","Sin multa",IF(H430="Sí","Descargo enviado","Pendiente"))))</f>
        <v/>
      </c>
    </row>
    <row r="431" customFormat="false" ht="15" hidden="false" customHeight="false" outlineLevel="0" collapsed="false">
      <c r="A431" s="6" t="str">
        <f aca="false">IF('Carga Vigilador'!A431="","",'Carga Vigilador'!A431)</f>
        <v/>
      </c>
      <c r="B431" s="11" t="str">
        <f aca="false">IF('Carga Vigilador'!B431="","",'Carga Vigilador'!B431)</f>
        <v/>
      </c>
      <c r="C431" s="12" t="str">
        <f aca="false">IF('Carga Vigilador'!C431="","",'Carga Vigilador'!C431)</f>
        <v/>
      </c>
      <c r="D431" s="13" t="str">
        <f aca="false">IF('Carga Vigilador'!D431="","",'Carga Vigilador'!D431)</f>
        <v/>
      </c>
      <c r="E431" s="6" t="str">
        <f aca="false">IF('Carga Vigilador'!E431="","",'Carga Vigilador'!E431)</f>
        <v/>
      </c>
      <c r="F431" s="13" t="str">
        <f aca="false">IF('Carga Vigilador'!F431="","",'Carga Vigilador'!F431)</f>
        <v/>
      </c>
      <c r="G431" s="13" t="str">
        <f aca="false">IF('Carga Vigilador'!G431="","",'Carga Vigilador'!G431)</f>
        <v/>
      </c>
      <c r="H431" s="14"/>
      <c r="I431" s="15"/>
      <c r="J431" s="14"/>
      <c r="K431" s="15"/>
      <c r="L431" s="16"/>
      <c r="M431" s="17"/>
      <c r="N431" s="18" t="str">
        <f aca="false">IF(B431="","",IF(J431="Sí","Multa aplicada",IF(J431="No","Sin multa",IF(H431="Sí","Descargo enviado","Pendiente"))))</f>
        <v/>
      </c>
    </row>
    <row r="432" customFormat="false" ht="15" hidden="false" customHeight="false" outlineLevel="0" collapsed="false">
      <c r="A432" s="6" t="str">
        <f aca="false">IF('Carga Vigilador'!A432="","",'Carga Vigilador'!A432)</f>
        <v/>
      </c>
      <c r="B432" s="11" t="str">
        <f aca="false">IF('Carga Vigilador'!B432="","",'Carga Vigilador'!B432)</f>
        <v/>
      </c>
      <c r="C432" s="12" t="str">
        <f aca="false">IF('Carga Vigilador'!C432="","",'Carga Vigilador'!C432)</f>
        <v/>
      </c>
      <c r="D432" s="13" t="str">
        <f aca="false">IF('Carga Vigilador'!D432="","",'Carga Vigilador'!D432)</f>
        <v/>
      </c>
      <c r="E432" s="6" t="str">
        <f aca="false">IF('Carga Vigilador'!E432="","",'Carga Vigilador'!E432)</f>
        <v/>
      </c>
      <c r="F432" s="13" t="str">
        <f aca="false">IF('Carga Vigilador'!F432="","",'Carga Vigilador'!F432)</f>
        <v/>
      </c>
      <c r="G432" s="13" t="str">
        <f aca="false">IF('Carga Vigilador'!G432="","",'Carga Vigilador'!G432)</f>
        <v/>
      </c>
      <c r="H432" s="14"/>
      <c r="I432" s="15"/>
      <c r="J432" s="14"/>
      <c r="K432" s="15"/>
      <c r="L432" s="16"/>
      <c r="M432" s="17"/>
      <c r="N432" s="18" t="str">
        <f aca="false">IF(B432="","",IF(J432="Sí","Multa aplicada",IF(J432="No","Sin multa",IF(H432="Sí","Descargo enviado","Pendiente"))))</f>
        <v/>
      </c>
    </row>
    <row r="433" customFormat="false" ht="15" hidden="false" customHeight="false" outlineLevel="0" collapsed="false">
      <c r="A433" s="6" t="str">
        <f aca="false">IF('Carga Vigilador'!A433="","",'Carga Vigilador'!A433)</f>
        <v/>
      </c>
      <c r="B433" s="11" t="str">
        <f aca="false">IF('Carga Vigilador'!B433="","",'Carga Vigilador'!B433)</f>
        <v/>
      </c>
      <c r="C433" s="12" t="str">
        <f aca="false">IF('Carga Vigilador'!C433="","",'Carga Vigilador'!C433)</f>
        <v/>
      </c>
      <c r="D433" s="13" t="str">
        <f aca="false">IF('Carga Vigilador'!D433="","",'Carga Vigilador'!D433)</f>
        <v/>
      </c>
      <c r="E433" s="6" t="str">
        <f aca="false">IF('Carga Vigilador'!E433="","",'Carga Vigilador'!E433)</f>
        <v/>
      </c>
      <c r="F433" s="13" t="str">
        <f aca="false">IF('Carga Vigilador'!F433="","",'Carga Vigilador'!F433)</f>
        <v/>
      </c>
      <c r="G433" s="13" t="str">
        <f aca="false">IF('Carga Vigilador'!G433="","",'Carga Vigilador'!G433)</f>
        <v/>
      </c>
      <c r="H433" s="14"/>
      <c r="I433" s="15"/>
      <c r="J433" s="14"/>
      <c r="K433" s="15"/>
      <c r="L433" s="16"/>
      <c r="M433" s="17"/>
      <c r="N433" s="18" t="str">
        <f aca="false">IF(B433="","",IF(J433="Sí","Multa aplicada",IF(J433="No","Sin multa",IF(H433="Sí","Descargo enviado","Pendiente"))))</f>
        <v/>
      </c>
    </row>
    <row r="434" customFormat="false" ht="15" hidden="false" customHeight="false" outlineLevel="0" collapsed="false">
      <c r="A434" s="6" t="str">
        <f aca="false">IF('Carga Vigilador'!A434="","",'Carga Vigilador'!A434)</f>
        <v/>
      </c>
      <c r="B434" s="11" t="str">
        <f aca="false">IF('Carga Vigilador'!B434="","",'Carga Vigilador'!B434)</f>
        <v/>
      </c>
      <c r="C434" s="12" t="str">
        <f aca="false">IF('Carga Vigilador'!C434="","",'Carga Vigilador'!C434)</f>
        <v/>
      </c>
      <c r="D434" s="13" t="str">
        <f aca="false">IF('Carga Vigilador'!D434="","",'Carga Vigilador'!D434)</f>
        <v/>
      </c>
      <c r="E434" s="6" t="str">
        <f aca="false">IF('Carga Vigilador'!E434="","",'Carga Vigilador'!E434)</f>
        <v/>
      </c>
      <c r="F434" s="13" t="str">
        <f aca="false">IF('Carga Vigilador'!F434="","",'Carga Vigilador'!F434)</f>
        <v/>
      </c>
      <c r="G434" s="13" t="str">
        <f aca="false">IF('Carga Vigilador'!G434="","",'Carga Vigilador'!G434)</f>
        <v/>
      </c>
      <c r="H434" s="14"/>
      <c r="I434" s="15"/>
      <c r="J434" s="14"/>
      <c r="K434" s="15"/>
      <c r="L434" s="16"/>
      <c r="M434" s="17"/>
      <c r="N434" s="18" t="str">
        <f aca="false">IF(B434="","",IF(J434="Sí","Multa aplicada",IF(J434="No","Sin multa",IF(H434="Sí","Descargo enviado","Pendiente"))))</f>
        <v/>
      </c>
    </row>
    <row r="435" customFormat="false" ht="15" hidden="false" customHeight="false" outlineLevel="0" collapsed="false">
      <c r="A435" s="6" t="str">
        <f aca="false">IF('Carga Vigilador'!A435="","",'Carga Vigilador'!A435)</f>
        <v/>
      </c>
      <c r="B435" s="11" t="str">
        <f aca="false">IF('Carga Vigilador'!B435="","",'Carga Vigilador'!B435)</f>
        <v/>
      </c>
      <c r="C435" s="12" t="str">
        <f aca="false">IF('Carga Vigilador'!C435="","",'Carga Vigilador'!C435)</f>
        <v/>
      </c>
      <c r="D435" s="13" t="str">
        <f aca="false">IF('Carga Vigilador'!D435="","",'Carga Vigilador'!D435)</f>
        <v/>
      </c>
      <c r="E435" s="6" t="str">
        <f aca="false">IF('Carga Vigilador'!E435="","",'Carga Vigilador'!E435)</f>
        <v/>
      </c>
      <c r="F435" s="13" t="str">
        <f aca="false">IF('Carga Vigilador'!F435="","",'Carga Vigilador'!F435)</f>
        <v/>
      </c>
      <c r="G435" s="13" t="str">
        <f aca="false">IF('Carga Vigilador'!G435="","",'Carga Vigilador'!G435)</f>
        <v/>
      </c>
      <c r="H435" s="14"/>
      <c r="I435" s="15"/>
      <c r="J435" s="14"/>
      <c r="K435" s="15"/>
      <c r="L435" s="16"/>
      <c r="M435" s="17"/>
      <c r="N435" s="18" t="str">
        <f aca="false">IF(B435="","",IF(J435="Sí","Multa aplicada",IF(J435="No","Sin multa",IF(H435="Sí","Descargo enviado","Pendiente"))))</f>
        <v/>
      </c>
    </row>
    <row r="436" customFormat="false" ht="15" hidden="false" customHeight="false" outlineLevel="0" collapsed="false">
      <c r="A436" s="6" t="str">
        <f aca="false">IF('Carga Vigilador'!A436="","",'Carga Vigilador'!A436)</f>
        <v/>
      </c>
      <c r="B436" s="11" t="str">
        <f aca="false">IF('Carga Vigilador'!B436="","",'Carga Vigilador'!B436)</f>
        <v/>
      </c>
      <c r="C436" s="12" t="str">
        <f aca="false">IF('Carga Vigilador'!C436="","",'Carga Vigilador'!C436)</f>
        <v/>
      </c>
      <c r="D436" s="13" t="str">
        <f aca="false">IF('Carga Vigilador'!D436="","",'Carga Vigilador'!D436)</f>
        <v/>
      </c>
      <c r="E436" s="6" t="str">
        <f aca="false">IF('Carga Vigilador'!E436="","",'Carga Vigilador'!E436)</f>
        <v/>
      </c>
      <c r="F436" s="13" t="str">
        <f aca="false">IF('Carga Vigilador'!F436="","",'Carga Vigilador'!F436)</f>
        <v/>
      </c>
      <c r="G436" s="13" t="str">
        <f aca="false">IF('Carga Vigilador'!G436="","",'Carga Vigilador'!G436)</f>
        <v/>
      </c>
      <c r="H436" s="14"/>
      <c r="I436" s="15"/>
      <c r="J436" s="14"/>
      <c r="K436" s="15"/>
      <c r="L436" s="16"/>
      <c r="M436" s="17"/>
      <c r="N436" s="18" t="str">
        <f aca="false">IF(B436="","",IF(J436="Sí","Multa aplicada",IF(J436="No","Sin multa",IF(H436="Sí","Descargo enviado","Pendiente"))))</f>
        <v/>
      </c>
    </row>
    <row r="437" customFormat="false" ht="15" hidden="false" customHeight="false" outlineLevel="0" collapsed="false">
      <c r="A437" s="6" t="str">
        <f aca="false">IF('Carga Vigilador'!A437="","",'Carga Vigilador'!A437)</f>
        <v/>
      </c>
      <c r="B437" s="11" t="str">
        <f aca="false">IF('Carga Vigilador'!B437="","",'Carga Vigilador'!B437)</f>
        <v/>
      </c>
      <c r="C437" s="12" t="str">
        <f aca="false">IF('Carga Vigilador'!C437="","",'Carga Vigilador'!C437)</f>
        <v/>
      </c>
      <c r="D437" s="13" t="str">
        <f aca="false">IF('Carga Vigilador'!D437="","",'Carga Vigilador'!D437)</f>
        <v/>
      </c>
      <c r="E437" s="6" t="str">
        <f aca="false">IF('Carga Vigilador'!E437="","",'Carga Vigilador'!E437)</f>
        <v/>
      </c>
      <c r="F437" s="13" t="str">
        <f aca="false">IF('Carga Vigilador'!F437="","",'Carga Vigilador'!F437)</f>
        <v/>
      </c>
      <c r="G437" s="13" t="str">
        <f aca="false">IF('Carga Vigilador'!G437="","",'Carga Vigilador'!G437)</f>
        <v/>
      </c>
      <c r="H437" s="14"/>
      <c r="I437" s="15"/>
      <c r="J437" s="14"/>
      <c r="K437" s="15"/>
      <c r="L437" s="16"/>
      <c r="M437" s="17"/>
      <c r="N437" s="18" t="str">
        <f aca="false">IF(B437="","",IF(J437="Sí","Multa aplicada",IF(J437="No","Sin multa",IF(H437="Sí","Descargo enviado","Pendiente"))))</f>
        <v/>
      </c>
    </row>
    <row r="438" customFormat="false" ht="15" hidden="false" customHeight="false" outlineLevel="0" collapsed="false">
      <c r="A438" s="6" t="str">
        <f aca="false">IF('Carga Vigilador'!A438="","",'Carga Vigilador'!A438)</f>
        <v/>
      </c>
      <c r="B438" s="11" t="str">
        <f aca="false">IF('Carga Vigilador'!B438="","",'Carga Vigilador'!B438)</f>
        <v/>
      </c>
      <c r="C438" s="12" t="str">
        <f aca="false">IF('Carga Vigilador'!C438="","",'Carga Vigilador'!C438)</f>
        <v/>
      </c>
      <c r="D438" s="13" t="str">
        <f aca="false">IF('Carga Vigilador'!D438="","",'Carga Vigilador'!D438)</f>
        <v/>
      </c>
      <c r="E438" s="6" t="str">
        <f aca="false">IF('Carga Vigilador'!E438="","",'Carga Vigilador'!E438)</f>
        <v/>
      </c>
      <c r="F438" s="13" t="str">
        <f aca="false">IF('Carga Vigilador'!F438="","",'Carga Vigilador'!F438)</f>
        <v/>
      </c>
      <c r="G438" s="13" t="str">
        <f aca="false">IF('Carga Vigilador'!G438="","",'Carga Vigilador'!G438)</f>
        <v/>
      </c>
      <c r="H438" s="14"/>
      <c r="I438" s="15"/>
      <c r="J438" s="14"/>
      <c r="K438" s="15"/>
      <c r="L438" s="16"/>
      <c r="M438" s="17"/>
      <c r="N438" s="18" t="str">
        <f aca="false">IF(B438="","",IF(J438="Sí","Multa aplicada",IF(J438="No","Sin multa",IF(H438="Sí","Descargo enviado","Pendiente"))))</f>
        <v/>
      </c>
    </row>
    <row r="439" customFormat="false" ht="15" hidden="false" customHeight="false" outlineLevel="0" collapsed="false">
      <c r="A439" s="6" t="str">
        <f aca="false">IF('Carga Vigilador'!A439="","",'Carga Vigilador'!A439)</f>
        <v/>
      </c>
      <c r="B439" s="11" t="str">
        <f aca="false">IF('Carga Vigilador'!B439="","",'Carga Vigilador'!B439)</f>
        <v/>
      </c>
      <c r="C439" s="12" t="str">
        <f aca="false">IF('Carga Vigilador'!C439="","",'Carga Vigilador'!C439)</f>
        <v/>
      </c>
      <c r="D439" s="13" t="str">
        <f aca="false">IF('Carga Vigilador'!D439="","",'Carga Vigilador'!D439)</f>
        <v/>
      </c>
      <c r="E439" s="6" t="str">
        <f aca="false">IF('Carga Vigilador'!E439="","",'Carga Vigilador'!E439)</f>
        <v/>
      </c>
      <c r="F439" s="13" t="str">
        <f aca="false">IF('Carga Vigilador'!F439="","",'Carga Vigilador'!F439)</f>
        <v/>
      </c>
      <c r="G439" s="13" t="str">
        <f aca="false">IF('Carga Vigilador'!G439="","",'Carga Vigilador'!G439)</f>
        <v/>
      </c>
      <c r="H439" s="14"/>
      <c r="I439" s="15"/>
      <c r="J439" s="14"/>
      <c r="K439" s="15"/>
      <c r="L439" s="16"/>
      <c r="M439" s="17"/>
      <c r="N439" s="18" t="str">
        <f aca="false">IF(B439="","",IF(J439="Sí","Multa aplicada",IF(J439="No","Sin multa",IF(H439="Sí","Descargo enviado","Pendiente"))))</f>
        <v/>
      </c>
    </row>
    <row r="440" customFormat="false" ht="15" hidden="false" customHeight="false" outlineLevel="0" collapsed="false">
      <c r="A440" s="6" t="str">
        <f aca="false">IF('Carga Vigilador'!A440="","",'Carga Vigilador'!A440)</f>
        <v/>
      </c>
      <c r="B440" s="11" t="str">
        <f aca="false">IF('Carga Vigilador'!B440="","",'Carga Vigilador'!B440)</f>
        <v/>
      </c>
      <c r="C440" s="12" t="str">
        <f aca="false">IF('Carga Vigilador'!C440="","",'Carga Vigilador'!C440)</f>
        <v/>
      </c>
      <c r="D440" s="13" t="str">
        <f aca="false">IF('Carga Vigilador'!D440="","",'Carga Vigilador'!D440)</f>
        <v/>
      </c>
      <c r="E440" s="6" t="str">
        <f aca="false">IF('Carga Vigilador'!E440="","",'Carga Vigilador'!E440)</f>
        <v/>
      </c>
      <c r="F440" s="13" t="str">
        <f aca="false">IF('Carga Vigilador'!F440="","",'Carga Vigilador'!F440)</f>
        <v/>
      </c>
      <c r="G440" s="13" t="str">
        <f aca="false">IF('Carga Vigilador'!G440="","",'Carga Vigilador'!G440)</f>
        <v/>
      </c>
      <c r="H440" s="14"/>
      <c r="I440" s="15"/>
      <c r="J440" s="14"/>
      <c r="K440" s="15"/>
      <c r="L440" s="16"/>
      <c r="M440" s="17"/>
      <c r="N440" s="18" t="str">
        <f aca="false">IF(B440="","",IF(J440="Sí","Multa aplicada",IF(J440="No","Sin multa",IF(H440="Sí","Descargo enviado","Pendiente"))))</f>
        <v/>
      </c>
    </row>
    <row r="441" customFormat="false" ht="15" hidden="false" customHeight="false" outlineLevel="0" collapsed="false">
      <c r="A441" s="6" t="str">
        <f aca="false">IF('Carga Vigilador'!A441="","",'Carga Vigilador'!A441)</f>
        <v/>
      </c>
      <c r="B441" s="11" t="str">
        <f aca="false">IF('Carga Vigilador'!B441="","",'Carga Vigilador'!B441)</f>
        <v/>
      </c>
      <c r="C441" s="12" t="str">
        <f aca="false">IF('Carga Vigilador'!C441="","",'Carga Vigilador'!C441)</f>
        <v/>
      </c>
      <c r="D441" s="13" t="str">
        <f aca="false">IF('Carga Vigilador'!D441="","",'Carga Vigilador'!D441)</f>
        <v/>
      </c>
      <c r="E441" s="6" t="str">
        <f aca="false">IF('Carga Vigilador'!E441="","",'Carga Vigilador'!E441)</f>
        <v/>
      </c>
      <c r="F441" s="13" t="str">
        <f aca="false">IF('Carga Vigilador'!F441="","",'Carga Vigilador'!F441)</f>
        <v/>
      </c>
      <c r="G441" s="13" t="str">
        <f aca="false">IF('Carga Vigilador'!G441="","",'Carga Vigilador'!G441)</f>
        <v/>
      </c>
      <c r="H441" s="14"/>
      <c r="I441" s="15"/>
      <c r="J441" s="14"/>
      <c r="K441" s="15"/>
      <c r="L441" s="16"/>
      <c r="M441" s="17"/>
      <c r="N441" s="18" t="str">
        <f aca="false">IF(B441="","",IF(J441="Sí","Multa aplicada",IF(J441="No","Sin multa",IF(H441="Sí","Descargo enviado","Pendiente"))))</f>
        <v/>
      </c>
    </row>
    <row r="442" customFormat="false" ht="15" hidden="false" customHeight="false" outlineLevel="0" collapsed="false">
      <c r="A442" s="6" t="str">
        <f aca="false">IF('Carga Vigilador'!A442="","",'Carga Vigilador'!A442)</f>
        <v/>
      </c>
      <c r="B442" s="11" t="str">
        <f aca="false">IF('Carga Vigilador'!B442="","",'Carga Vigilador'!B442)</f>
        <v/>
      </c>
      <c r="C442" s="12" t="str">
        <f aca="false">IF('Carga Vigilador'!C442="","",'Carga Vigilador'!C442)</f>
        <v/>
      </c>
      <c r="D442" s="13" t="str">
        <f aca="false">IF('Carga Vigilador'!D442="","",'Carga Vigilador'!D442)</f>
        <v/>
      </c>
      <c r="E442" s="6" t="str">
        <f aca="false">IF('Carga Vigilador'!E442="","",'Carga Vigilador'!E442)</f>
        <v/>
      </c>
      <c r="F442" s="13" t="str">
        <f aca="false">IF('Carga Vigilador'!F442="","",'Carga Vigilador'!F442)</f>
        <v/>
      </c>
      <c r="G442" s="13" t="str">
        <f aca="false">IF('Carga Vigilador'!G442="","",'Carga Vigilador'!G442)</f>
        <v/>
      </c>
      <c r="H442" s="14"/>
      <c r="I442" s="15"/>
      <c r="J442" s="14"/>
      <c r="K442" s="15"/>
      <c r="L442" s="16"/>
      <c r="M442" s="17"/>
      <c r="N442" s="18" t="str">
        <f aca="false">IF(B442="","",IF(J442="Sí","Multa aplicada",IF(J442="No","Sin multa",IF(H442="Sí","Descargo enviado","Pendiente"))))</f>
        <v/>
      </c>
    </row>
    <row r="443" customFormat="false" ht="15" hidden="false" customHeight="false" outlineLevel="0" collapsed="false">
      <c r="A443" s="6" t="str">
        <f aca="false">IF('Carga Vigilador'!A443="","",'Carga Vigilador'!A443)</f>
        <v/>
      </c>
      <c r="B443" s="11" t="str">
        <f aca="false">IF('Carga Vigilador'!B443="","",'Carga Vigilador'!B443)</f>
        <v/>
      </c>
      <c r="C443" s="12" t="str">
        <f aca="false">IF('Carga Vigilador'!C443="","",'Carga Vigilador'!C443)</f>
        <v/>
      </c>
      <c r="D443" s="13" t="str">
        <f aca="false">IF('Carga Vigilador'!D443="","",'Carga Vigilador'!D443)</f>
        <v/>
      </c>
      <c r="E443" s="6" t="str">
        <f aca="false">IF('Carga Vigilador'!E443="","",'Carga Vigilador'!E443)</f>
        <v/>
      </c>
      <c r="F443" s="13" t="str">
        <f aca="false">IF('Carga Vigilador'!F443="","",'Carga Vigilador'!F443)</f>
        <v/>
      </c>
      <c r="G443" s="13" t="str">
        <f aca="false">IF('Carga Vigilador'!G443="","",'Carga Vigilador'!G443)</f>
        <v/>
      </c>
      <c r="H443" s="14"/>
      <c r="I443" s="15"/>
      <c r="J443" s="14"/>
      <c r="K443" s="15"/>
      <c r="L443" s="16"/>
      <c r="M443" s="17"/>
      <c r="N443" s="18" t="str">
        <f aca="false">IF(B443="","",IF(J443="Sí","Multa aplicada",IF(J443="No","Sin multa",IF(H443="Sí","Descargo enviado","Pendiente"))))</f>
        <v/>
      </c>
    </row>
    <row r="444" customFormat="false" ht="15" hidden="false" customHeight="false" outlineLevel="0" collapsed="false">
      <c r="A444" s="6" t="str">
        <f aca="false">IF('Carga Vigilador'!A444="","",'Carga Vigilador'!A444)</f>
        <v/>
      </c>
      <c r="B444" s="11" t="str">
        <f aca="false">IF('Carga Vigilador'!B444="","",'Carga Vigilador'!B444)</f>
        <v/>
      </c>
      <c r="C444" s="12" t="str">
        <f aca="false">IF('Carga Vigilador'!C444="","",'Carga Vigilador'!C444)</f>
        <v/>
      </c>
      <c r="D444" s="13" t="str">
        <f aca="false">IF('Carga Vigilador'!D444="","",'Carga Vigilador'!D444)</f>
        <v/>
      </c>
      <c r="E444" s="6" t="str">
        <f aca="false">IF('Carga Vigilador'!E444="","",'Carga Vigilador'!E444)</f>
        <v/>
      </c>
      <c r="F444" s="13" t="str">
        <f aca="false">IF('Carga Vigilador'!F444="","",'Carga Vigilador'!F444)</f>
        <v/>
      </c>
      <c r="G444" s="13" t="str">
        <f aca="false">IF('Carga Vigilador'!G444="","",'Carga Vigilador'!G444)</f>
        <v/>
      </c>
      <c r="H444" s="14"/>
      <c r="I444" s="15"/>
      <c r="J444" s="14"/>
      <c r="K444" s="15"/>
      <c r="L444" s="16"/>
      <c r="M444" s="17"/>
      <c r="N444" s="18" t="str">
        <f aca="false">IF(B444="","",IF(J444="Sí","Multa aplicada",IF(J444="No","Sin multa",IF(H444="Sí","Descargo enviado","Pendiente"))))</f>
        <v/>
      </c>
    </row>
    <row r="445" customFormat="false" ht="15" hidden="false" customHeight="false" outlineLevel="0" collapsed="false">
      <c r="A445" s="6" t="str">
        <f aca="false">IF('Carga Vigilador'!A445="","",'Carga Vigilador'!A445)</f>
        <v/>
      </c>
      <c r="B445" s="11" t="str">
        <f aca="false">IF('Carga Vigilador'!B445="","",'Carga Vigilador'!B445)</f>
        <v/>
      </c>
      <c r="C445" s="12" t="str">
        <f aca="false">IF('Carga Vigilador'!C445="","",'Carga Vigilador'!C445)</f>
        <v/>
      </c>
      <c r="D445" s="13" t="str">
        <f aca="false">IF('Carga Vigilador'!D445="","",'Carga Vigilador'!D445)</f>
        <v/>
      </c>
      <c r="E445" s="6" t="str">
        <f aca="false">IF('Carga Vigilador'!E445="","",'Carga Vigilador'!E445)</f>
        <v/>
      </c>
      <c r="F445" s="13" t="str">
        <f aca="false">IF('Carga Vigilador'!F445="","",'Carga Vigilador'!F445)</f>
        <v/>
      </c>
      <c r="G445" s="13" t="str">
        <f aca="false">IF('Carga Vigilador'!G445="","",'Carga Vigilador'!G445)</f>
        <v/>
      </c>
      <c r="H445" s="14"/>
      <c r="I445" s="15"/>
      <c r="J445" s="14"/>
      <c r="K445" s="15"/>
      <c r="L445" s="16"/>
      <c r="M445" s="17"/>
      <c r="N445" s="18" t="str">
        <f aca="false">IF(B445="","",IF(J445="Sí","Multa aplicada",IF(J445="No","Sin multa",IF(H445="Sí","Descargo enviado","Pendiente"))))</f>
        <v/>
      </c>
    </row>
    <row r="446" customFormat="false" ht="15" hidden="false" customHeight="false" outlineLevel="0" collapsed="false">
      <c r="A446" s="6" t="str">
        <f aca="false">IF('Carga Vigilador'!A446="","",'Carga Vigilador'!A446)</f>
        <v/>
      </c>
      <c r="B446" s="11" t="str">
        <f aca="false">IF('Carga Vigilador'!B446="","",'Carga Vigilador'!B446)</f>
        <v/>
      </c>
      <c r="C446" s="12" t="str">
        <f aca="false">IF('Carga Vigilador'!C446="","",'Carga Vigilador'!C446)</f>
        <v/>
      </c>
      <c r="D446" s="13" t="str">
        <f aca="false">IF('Carga Vigilador'!D446="","",'Carga Vigilador'!D446)</f>
        <v/>
      </c>
      <c r="E446" s="6" t="str">
        <f aca="false">IF('Carga Vigilador'!E446="","",'Carga Vigilador'!E446)</f>
        <v/>
      </c>
      <c r="F446" s="13" t="str">
        <f aca="false">IF('Carga Vigilador'!F446="","",'Carga Vigilador'!F446)</f>
        <v/>
      </c>
      <c r="G446" s="13" t="str">
        <f aca="false">IF('Carga Vigilador'!G446="","",'Carga Vigilador'!G446)</f>
        <v/>
      </c>
      <c r="H446" s="14"/>
      <c r="I446" s="15"/>
      <c r="J446" s="14"/>
      <c r="K446" s="15"/>
      <c r="L446" s="16"/>
      <c r="M446" s="17"/>
      <c r="N446" s="18" t="str">
        <f aca="false">IF(B446="","",IF(J446="Sí","Multa aplicada",IF(J446="No","Sin multa",IF(H446="Sí","Descargo enviado","Pendiente"))))</f>
        <v/>
      </c>
    </row>
    <row r="447" customFormat="false" ht="15" hidden="false" customHeight="false" outlineLevel="0" collapsed="false">
      <c r="A447" s="6" t="str">
        <f aca="false">IF('Carga Vigilador'!A447="","",'Carga Vigilador'!A447)</f>
        <v/>
      </c>
      <c r="B447" s="11" t="str">
        <f aca="false">IF('Carga Vigilador'!B447="","",'Carga Vigilador'!B447)</f>
        <v/>
      </c>
      <c r="C447" s="12" t="str">
        <f aca="false">IF('Carga Vigilador'!C447="","",'Carga Vigilador'!C447)</f>
        <v/>
      </c>
      <c r="D447" s="13" t="str">
        <f aca="false">IF('Carga Vigilador'!D447="","",'Carga Vigilador'!D447)</f>
        <v/>
      </c>
      <c r="E447" s="6" t="str">
        <f aca="false">IF('Carga Vigilador'!E447="","",'Carga Vigilador'!E447)</f>
        <v/>
      </c>
      <c r="F447" s="13" t="str">
        <f aca="false">IF('Carga Vigilador'!F447="","",'Carga Vigilador'!F447)</f>
        <v/>
      </c>
      <c r="G447" s="13" t="str">
        <f aca="false">IF('Carga Vigilador'!G447="","",'Carga Vigilador'!G447)</f>
        <v/>
      </c>
      <c r="H447" s="14"/>
      <c r="I447" s="15"/>
      <c r="J447" s="14"/>
      <c r="K447" s="15"/>
      <c r="L447" s="16"/>
      <c r="M447" s="17"/>
      <c r="N447" s="18" t="str">
        <f aca="false">IF(B447="","",IF(J447="Sí","Multa aplicada",IF(J447="No","Sin multa",IF(H447="Sí","Descargo enviado","Pendiente"))))</f>
        <v/>
      </c>
    </row>
    <row r="448" customFormat="false" ht="15" hidden="false" customHeight="false" outlineLevel="0" collapsed="false">
      <c r="A448" s="6" t="str">
        <f aca="false">IF('Carga Vigilador'!A448="","",'Carga Vigilador'!A448)</f>
        <v/>
      </c>
      <c r="B448" s="11" t="str">
        <f aca="false">IF('Carga Vigilador'!B448="","",'Carga Vigilador'!B448)</f>
        <v/>
      </c>
      <c r="C448" s="12" t="str">
        <f aca="false">IF('Carga Vigilador'!C448="","",'Carga Vigilador'!C448)</f>
        <v/>
      </c>
      <c r="D448" s="13" t="str">
        <f aca="false">IF('Carga Vigilador'!D448="","",'Carga Vigilador'!D448)</f>
        <v/>
      </c>
      <c r="E448" s="6" t="str">
        <f aca="false">IF('Carga Vigilador'!E448="","",'Carga Vigilador'!E448)</f>
        <v/>
      </c>
      <c r="F448" s="13" t="str">
        <f aca="false">IF('Carga Vigilador'!F448="","",'Carga Vigilador'!F448)</f>
        <v/>
      </c>
      <c r="G448" s="13" t="str">
        <f aca="false">IF('Carga Vigilador'!G448="","",'Carga Vigilador'!G448)</f>
        <v/>
      </c>
      <c r="H448" s="14"/>
      <c r="I448" s="15"/>
      <c r="J448" s="14"/>
      <c r="K448" s="15"/>
      <c r="L448" s="16"/>
      <c r="M448" s="17"/>
      <c r="N448" s="18" t="str">
        <f aca="false">IF(B448="","",IF(J448="Sí","Multa aplicada",IF(J448="No","Sin multa",IF(H448="Sí","Descargo enviado","Pendiente"))))</f>
        <v/>
      </c>
    </row>
    <row r="449" customFormat="false" ht="15" hidden="false" customHeight="false" outlineLevel="0" collapsed="false">
      <c r="A449" s="6" t="str">
        <f aca="false">IF('Carga Vigilador'!A449="","",'Carga Vigilador'!A449)</f>
        <v/>
      </c>
      <c r="B449" s="11" t="str">
        <f aca="false">IF('Carga Vigilador'!B449="","",'Carga Vigilador'!B449)</f>
        <v/>
      </c>
      <c r="C449" s="12" t="str">
        <f aca="false">IF('Carga Vigilador'!C449="","",'Carga Vigilador'!C449)</f>
        <v/>
      </c>
      <c r="D449" s="13" t="str">
        <f aca="false">IF('Carga Vigilador'!D449="","",'Carga Vigilador'!D449)</f>
        <v/>
      </c>
      <c r="E449" s="6" t="str">
        <f aca="false">IF('Carga Vigilador'!E449="","",'Carga Vigilador'!E449)</f>
        <v/>
      </c>
      <c r="F449" s="13" t="str">
        <f aca="false">IF('Carga Vigilador'!F449="","",'Carga Vigilador'!F449)</f>
        <v/>
      </c>
      <c r="G449" s="13" t="str">
        <f aca="false">IF('Carga Vigilador'!G449="","",'Carga Vigilador'!G449)</f>
        <v/>
      </c>
      <c r="H449" s="14"/>
      <c r="I449" s="15"/>
      <c r="J449" s="14"/>
      <c r="K449" s="15"/>
      <c r="L449" s="16"/>
      <c r="M449" s="17"/>
      <c r="N449" s="18" t="str">
        <f aca="false">IF(B449="","",IF(J449="Sí","Multa aplicada",IF(J449="No","Sin multa",IF(H449="Sí","Descargo enviado","Pendiente"))))</f>
        <v/>
      </c>
    </row>
    <row r="450" customFormat="false" ht="15" hidden="false" customHeight="false" outlineLevel="0" collapsed="false">
      <c r="A450" s="6" t="str">
        <f aca="false">IF('Carga Vigilador'!A450="","",'Carga Vigilador'!A450)</f>
        <v/>
      </c>
      <c r="B450" s="11" t="str">
        <f aca="false">IF('Carga Vigilador'!B450="","",'Carga Vigilador'!B450)</f>
        <v/>
      </c>
      <c r="C450" s="12" t="str">
        <f aca="false">IF('Carga Vigilador'!C450="","",'Carga Vigilador'!C450)</f>
        <v/>
      </c>
      <c r="D450" s="13" t="str">
        <f aca="false">IF('Carga Vigilador'!D450="","",'Carga Vigilador'!D450)</f>
        <v/>
      </c>
      <c r="E450" s="6" t="str">
        <f aca="false">IF('Carga Vigilador'!E450="","",'Carga Vigilador'!E450)</f>
        <v/>
      </c>
      <c r="F450" s="13" t="str">
        <f aca="false">IF('Carga Vigilador'!F450="","",'Carga Vigilador'!F450)</f>
        <v/>
      </c>
      <c r="G450" s="13" t="str">
        <f aca="false">IF('Carga Vigilador'!G450="","",'Carga Vigilador'!G450)</f>
        <v/>
      </c>
      <c r="H450" s="14"/>
      <c r="I450" s="15"/>
      <c r="J450" s="14"/>
      <c r="K450" s="15"/>
      <c r="L450" s="16"/>
      <c r="M450" s="17"/>
      <c r="N450" s="18" t="str">
        <f aca="false">IF(B450="","",IF(J450="Sí","Multa aplicada",IF(J450="No","Sin multa",IF(H450="Sí","Descargo enviado","Pendiente"))))</f>
        <v/>
      </c>
    </row>
    <row r="451" customFormat="false" ht="15" hidden="false" customHeight="false" outlineLevel="0" collapsed="false">
      <c r="A451" s="6" t="str">
        <f aca="false">IF('Carga Vigilador'!A451="","",'Carga Vigilador'!A451)</f>
        <v/>
      </c>
      <c r="B451" s="11" t="str">
        <f aca="false">IF('Carga Vigilador'!B451="","",'Carga Vigilador'!B451)</f>
        <v/>
      </c>
      <c r="C451" s="12" t="str">
        <f aca="false">IF('Carga Vigilador'!C451="","",'Carga Vigilador'!C451)</f>
        <v/>
      </c>
      <c r="D451" s="13" t="str">
        <f aca="false">IF('Carga Vigilador'!D451="","",'Carga Vigilador'!D451)</f>
        <v/>
      </c>
      <c r="E451" s="6" t="str">
        <f aca="false">IF('Carga Vigilador'!E451="","",'Carga Vigilador'!E451)</f>
        <v/>
      </c>
      <c r="F451" s="13" t="str">
        <f aca="false">IF('Carga Vigilador'!F451="","",'Carga Vigilador'!F451)</f>
        <v/>
      </c>
      <c r="G451" s="13" t="str">
        <f aca="false">IF('Carga Vigilador'!G451="","",'Carga Vigilador'!G451)</f>
        <v/>
      </c>
      <c r="H451" s="14"/>
      <c r="I451" s="15"/>
      <c r="J451" s="14"/>
      <c r="K451" s="15"/>
      <c r="L451" s="16"/>
      <c r="M451" s="17"/>
      <c r="N451" s="18" t="str">
        <f aca="false">IF(B451="","",IF(J451="Sí","Multa aplicada",IF(J451="No","Sin multa",IF(H451="Sí","Descargo enviado","Pendiente"))))</f>
        <v/>
      </c>
    </row>
    <row r="452" customFormat="false" ht="15" hidden="false" customHeight="false" outlineLevel="0" collapsed="false">
      <c r="A452" s="6" t="str">
        <f aca="false">IF('Carga Vigilador'!A452="","",'Carga Vigilador'!A452)</f>
        <v/>
      </c>
      <c r="B452" s="11" t="str">
        <f aca="false">IF('Carga Vigilador'!B452="","",'Carga Vigilador'!B452)</f>
        <v/>
      </c>
      <c r="C452" s="12" t="str">
        <f aca="false">IF('Carga Vigilador'!C452="","",'Carga Vigilador'!C452)</f>
        <v/>
      </c>
      <c r="D452" s="13" t="str">
        <f aca="false">IF('Carga Vigilador'!D452="","",'Carga Vigilador'!D452)</f>
        <v/>
      </c>
      <c r="E452" s="6" t="str">
        <f aca="false">IF('Carga Vigilador'!E452="","",'Carga Vigilador'!E452)</f>
        <v/>
      </c>
      <c r="F452" s="13" t="str">
        <f aca="false">IF('Carga Vigilador'!F452="","",'Carga Vigilador'!F452)</f>
        <v/>
      </c>
      <c r="G452" s="13" t="str">
        <f aca="false">IF('Carga Vigilador'!G452="","",'Carga Vigilador'!G452)</f>
        <v/>
      </c>
      <c r="H452" s="14"/>
      <c r="I452" s="15"/>
      <c r="J452" s="14"/>
      <c r="K452" s="15"/>
      <c r="L452" s="16"/>
      <c r="M452" s="17"/>
      <c r="N452" s="18" t="str">
        <f aca="false">IF(B452="","",IF(J452="Sí","Multa aplicada",IF(J452="No","Sin multa",IF(H452="Sí","Descargo enviado","Pendiente"))))</f>
        <v/>
      </c>
    </row>
    <row r="453" customFormat="false" ht="15" hidden="false" customHeight="false" outlineLevel="0" collapsed="false">
      <c r="A453" s="6" t="str">
        <f aca="false">IF('Carga Vigilador'!A453="","",'Carga Vigilador'!A453)</f>
        <v/>
      </c>
      <c r="B453" s="11" t="str">
        <f aca="false">IF('Carga Vigilador'!B453="","",'Carga Vigilador'!B453)</f>
        <v/>
      </c>
      <c r="C453" s="12" t="str">
        <f aca="false">IF('Carga Vigilador'!C453="","",'Carga Vigilador'!C453)</f>
        <v/>
      </c>
      <c r="D453" s="13" t="str">
        <f aca="false">IF('Carga Vigilador'!D453="","",'Carga Vigilador'!D453)</f>
        <v/>
      </c>
      <c r="E453" s="6" t="str">
        <f aca="false">IF('Carga Vigilador'!E453="","",'Carga Vigilador'!E453)</f>
        <v/>
      </c>
      <c r="F453" s="13" t="str">
        <f aca="false">IF('Carga Vigilador'!F453="","",'Carga Vigilador'!F453)</f>
        <v/>
      </c>
      <c r="G453" s="13" t="str">
        <f aca="false">IF('Carga Vigilador'!G453="","",'Carga Vigilador'!G453)</f>
        <v/>
      </c>
      <c r="H453" s="14"/>
      <c r="I453" s="15"/>
      <c r="J453" s="14"/>
      <c r="K453" s="15"/>
      <c r="L453" s="16"/>
      <c r="M453" s="17"/>
      <c r="N453" s="18" t="str">
        <f aca="false">IF(B453="","",IF(J453="Sí","Multa aplicada",IF(J453="No","Sin multa",IF(H453="Sí","Descargo enviado","Pendiente"))))</f>
        <v/>
      </c>
    </row>
    <row r="454" customFormat="false" ht="15" hidden="false" customHeight="false" outlineLevel="0" collapsed="false">
      <c r="A454" s="6" t="str">
        <f aca="false">IF('Carga Vigilador'!A454="","",'Carga Vigilador'!A454)</f>
        <v/>
      </c>
      <c r="B454" s="11" t="str">
        <f aca="false">IF('Carga Vigilador'!B454="","",'Carga Vigilador'!B454)</f>
        <v/>
      </c>
      <c r="C454" s="12" t="str">
        <f aca="false">IF('Carga Vigilador'!C454="","",'Carga Vigilador'!C454)</f>
        <v/>
      </c>
      <c r="D454" s="13" t="str">
        <f aca="false">IF('Carga Vigilador'!D454="","",'Carga Vigilador'!D454)</f>
        <v/>
      </c>
      <c r="E454" s="6" t="str">
        <f aca="false">IF('Carga Vigilador'!E454="","",'Carga Vigilador'!E454)</f>
        <v/>
      </c>
      <c r="F454" s="13" t="str">
        <f aca="false">IF('Carga Vigilador'!F454="","",'Carga Vigilador'!F454)</f>
        <v/>
      </c>
      <c r="G454" s="13" t="str">
        <f aca="false">IF('Carga Vigilador'!G454="","",'Carga Vigilador'!G454)</f>
        <v/>
      </c>
      <c r="H454" s="14"/>
      <c r="I454" s="15"/>
      <c r="J454" s="14"/>
      <c r="K454" s="15"/>
      <c r="L454" s="16"/>
      <c r="M454" s="17"/>
      <c r="N454" s="18" t="str">
        <f aca="false">IF(B454="","",IF(J454="Sí","Multa aplicada",IF(J454="No","Sin multa",IF(H454="Sí","Descargo enviado","Pendiente"))))</f>
        <v/>
      </c>
    </row>
    <row r="455" customFormat="false" ht="15" hidden="false" customHeight="false" outlineLevel="0" collapsed="false">
      <c r="A455" s="6" t="str">
        <f aca="false">IF('Carga Vigilador'!A455="","",'Carga Vigilador'!A455)</f>
        <v/>
      </c>
      <c r="B455" s="11" t="str">
        <f aca="false">IF('Carga Vigilador'!B455="","",'Carga Vigilador'!B455)</f>
        <v/>
      </c>
      <c r="C455" s="12" t="str">
        <f aca="false">IF('Carga Vigilador'!C455="","",'Carga Vigilador'!C455)</f>
        <v/>
      </c>
      <c r="D455" s="13" t="str">
        <f aca="false">IF('Carga Vigilador'!D455="","",'Carga Vigilador'!D455)</f>
        <v/>
      </c>
      <c r="E455" s="6" t="str">
        <f aca="false">IF('Carga Vigilador'!E455="","",'Carga Vigilador'!E455)</f>
        <v/>
      </c>
      <c r="F455" s="13" t="str">
        <f aca="false">IF('Carga Vigilador'!F455="","",'Carga Vigilador'!F455)</f>
        <v/>
      </c>
      <c r="G455" s="13" t="str">
        <f aca="false">IF('Carga Vigilador'!G455="","",'Carga Vigilador'!G455)</f>
        <v/>
      </c>
      <c r="H455" s="14"/>
      <c r="I455" s="15"/>
      <c r="J455" s="14"/>
      <c r="K455" s="15"/>
      <c r="L455" s="16"/>
      <c r="M455" s="17"/>
      <c r="N455" s="18" t="str">
        <f aca="false">IF(B455="","",IF(J455="Sí","Multa aplicada",IF(J455="No","Sin multa",IF(H455="Sí","Descargo enviado","Pendiente"))))</f>
        <v/>
      </c>
    </row>
    <row r="456" customFormat="false" ht="15" hidden="false" customHeight="false" outlineLevel="0" collapsed="false">
      <c r="A456" s="6" t="str">
        <f aca="false">IF('Carga Vigilador'!A456="","",'Carga Vigilador'!A456)</f>
        <v/>
      </c>
      <c r="B456" s="11" t="str">
        <f aca="false">IF('Carga Vigilador'!B456="","",'Carga Vigilador'!B456)</f>
        <v/>
      </c>
      <c r="C456" s="12" t="str">
        <f aca="false">IF('Carga Vigilador'!C456="","",'Carga Vigilador'!C456)</f>
        <v/>
      </c>
      <c r="D456" s="13" t="str">
        <f aca="false">IF('Carga Vigilador'!D456="","",'Carga Vigilador'!D456)</f>
        <v/>
      </c>
      <c r="E456" s="6" t="str">
        <f aca="false">IF('Carga Vigilador'!E456="","",'Carga Vigilador'!E456)</f>
        <v/>
      </c>
      <c r="F456" s="13" t="str">
        <f aca="false">IF('Carga Vigilador'!F456="","",'Carga Vigilador'!F456)</f>
        <v/>
      </c>
      <c r="G456" s="13" t="str">
        <f aca="false">IF('Carga Vigilador'!G456="","",'Carga Vigilador'!G456)</f>
        <v/>
      </c>
      <c r="H456" s="14"/>
      <c r="I456" s="15"/>
      <c r="J456" s="14"/>
      <c r="K456" s="15"/>
      <c r="L456" s="16"/>
      <c r="M456" s="17"/>
      <c r="N456" s="18" t="str">
        <f aca="false">IF(B456="","",IF(J456="Sí","Multa aplicada",IF(J456="No","Sin multa",IF(H456="Sí","Descargo enviado","Pendiente"))))</f>
        <v/>
      </c>
    </row>
    <row r="457" customFormat="false" ht="15" hidden="false" customHeight="false" outlineLevel="0" collapsed="false">
      <c r="A457" s="6" t="str">
        <f aca="false">IF('Carga Vigilador'!A457="","",'Carga Vigilador'!A457)</f>
        <v/>
      </c>
      <c r="B457" s="11" t="str">
        <f aca="false">IF('Carga Vigilador'!B457="","",'Carga Vigilador'!B457)</f>
        <v/>
      </c>
      <c r="C457" s="12" t="str">
        <f aca="false">IF('Carga Vigilador'!C457="","",'Carga Vigilador'!C457)</f>
        <v/>
      </c>
      <c r="D457" s="13" t="str">
        <f aca="false">IF('Carga Vigilador'!D457="","",'Carga Vigilador'!D457)</f>
        <v/>
      </c>
      <c r="E457" s="6" t="str">
        <f aca="false">IF('Carga Vigilador'!E457="","",'Carga Vigilador'!E457)</f>
        <v/>
      </c>
      <c r="F457" s="13" t="str">
        <f aca="false">IF('Carga Vigilador'!F457="","",'Carga Vigilador'!F457)</f>
        <v/>
      </c>
      <c r="G457" s="13" t="str">
        <f aca="false">IF('Carga Vigilador'!G457="","",'Carga Vigilador'!G457)</f>
        <v/>
      </c>
      <c r="H457" s="14"/>
      <c r="I457" s="15"/>
      <c r="J457" s="14"/>
      <c r="K457" s="15"/>
      <c r="L457" s="16"/>
      <c r="M457" s="17"/>
      <c r="N457" s="18" t="str">
        <f aca="false">IF(B457="","",IF(J457="Sí","Multa aplicada",IF(J457="No","Sin multa",IF(H457="Sí","Descargo enviado","Pendiente"))))</f>
        <v/>
      </c>
    </row>
    <row r="458" customFormat="false" ht="15" hidden="false" customHeight="false" outlineLevel="0" collapsed="false">
      <c r="A458" s="6" t="str">
        <f aca="false">IF('Carga Vigilador'!A458="","",'Carga Vigilador'!A458)</f>
        <v/>
      </c>
      <c r="B458" s="11" t="str">
        <f aca="false">IF('Carga Vigilador'!B458="","",'Carga Vigilador'!B458)</f>
        <v/>
      </c>
      <c r="C458" s="12" t="str">
        <f aca="false">IF('Carga Vigilador'!C458="","",'Carga Vigilador'!C458)</f>
        <v/>
      </c>
      <c r="D458" s="13" t="str">
        <f aca="false">IF('Carga Vigilador'!D458="","",'Carga Vigilador'!D458)</f>
        <v/>
      </c>
      <c r="E458" s="6" t="str">
        <f aca="false">IF('Carga Vigilador'!E458="","",'Carga Vigilador'!E458)</f>
        <v/>
      </c>
      <c r="F458" s="13" t="str">
        <f aca="false">IF('Carga Vigilador'!F458="","",'Carga Vigilador'!F458)</f>
        <v/>
      </c>
      <c r="G458" s="13" t="str">
        <f aca="false">IF('Carga Vigilador'!G458="","",'Carga Vigilador'!G458)</f>
        <v/>
      </c>
      <c r="H458" s="14"/>
      <c r="I458" s="15"/>
      <c r="J458" s="14"/>
      <c r="K458" s="15"/>
      <c r="L458" s="16"/>
      <c r="M458" s="17"/>
      <c r="N458" s="18" t="str">
        <f aca="false">IF(B458="","",IF(J458="Sí","Multa aplicada",IF(J458="No","Sin multa",IF(H458="Sí","Descargo enviado","Pendiente"))))</f>
        <v/>
      </c>
    </row>
    <row r="459" customFormat="false" ht="15" hidden="false" customHeight="false" outlineLevel="0" collapsed="false">
      <c r="A459" s="6" t="str">
        <f aca="false">IF('Carga Vigilador'!A459="","",'Carga Vigilador'!A459)</f>
        <v/>
      </c>
      <c r="B459" s="11" t="str">
        <f aca="false">IF('Carga Vigilador'!B459="","",'Carga Vigilador'!B459)</f>
        <v/>
      </c>
      <c r="C459" s="12" t="str">
        <f aca="false">IF('Carga Vigilador'!C459="","",'Carga Vigilador'!C459)</f>
        <v/>
      </c>
      <c r="D459" s="13" t="str">
        <f aca="false">IF('Carga Vigilador'!D459="","",'Carga Vigilador'!D459)</f>
        <v/>
      </c>
      <c r="E459" s="6" t="str">
        <f aca="false">IF('Carga Vigilador'!E459="","",'Carga Vigilador'!E459)</f>
        <v/>
      </c>
      <c r="F459" s="13" t="str">
        <f aca="false">IF('Carga Vigilador'!F459="","",'Carga Vigilador'!F459)</f>
        <v/>
      </c>
      <c r="G459" s="13" t="str">
        <f aca="false">IF('Carga Vigilador'!G459="","",'Carga Vigilador'!G459)</f>
        <v/>
      </c>
      <c r="H459" s="14"/>
      <c r="I459" s="15"/>
      <c r="J459" s="14"/>
      <c r="K459" s="15"/>
      <c r="L459" s="16"/>
      <c r="M459" s="17"/>
      <c r="N459" s="18" t="str">
        <f aca="false">IF(B459="","",IF(J459="Sí","Multa aplicada",IF(J459="No","Sin multa",IF(H459="Sí","Descargo enviado","Pendiente"))))</f>
        <v/>
      </c>
    </row>
    <row r="460" customFormat="false" ht="15" hidden="false" customHeight="false" outlineLevel="0" collapsed="false">
      <c r="A460" s="6" t="str">
        <f aca="false">IF('Carga Vigilador'!A460="","",'Carga Vigilador'!A460)</f>
        <v/>
      </c>
      <c r="B460" s="11" t="str">
        <f aca="false">IF('Carga Vigilador'!B460="","",'Carga Vigilador'!B460)</f>
        <v/>
      </c>
      <c r="C460" s="12" t="str">
        <f aca="false">IF('Carga Vigilador'!C460="","",'Carga Vigilador'!C460)</f>
        <v/>
      </c>
      <c r="D460" s="13" t="str">
        <f aca="false">IF('Carga Vigilador'!D460="","",'Carga Vigilador'!D460)</f>
        <v/>
      </c>
      <c r="E460" s="6" t="str">
        <f aca="false">IF('Carga Vigilador'!E460="","",'Carga Vigilador'!E460)</f>
        <v/>
      </c>
      <c r="F460" s="13" t="str">
        <f aca="false">IF('Carga Vigilador'!F460="","",'Carga Vigilador'!F460)</f>
        <v/>
      </c>
      <c r="G460" s="13" t="str">
        <f aca="false">IF('Carga Vigilador'!G460="","",'Carga Vigilador'!G460)</f>
        <v/>
      </c>
      <c r="H460" s="14"/>
      <c r="I460" s="15"/>
      <c r="J460" s="14"/>
      <c r="K460" s="15"/>
      <c r="L460" s="16"/>
      <c r="M460" s="17"/>
      <c r="N460" s="18" t="str">
        <f aca="false">IF(B460="","",IF(J460="Sí","Multa aplicada",IF(J460="No","Sin multa",IF(H460="Sí","Descargo enviado","Pendiente"))))</f>
        <v/>
      </c>
    </row>
    <row r="461" customFormat="false" ht="15" hidden="false" customHeight="false" outlineLevel="0" collapsed="false">
      <c r="A461" s="6" t="str">
        <f aca="false">IF('Carga Vigilador'!A461="","",'Carga Vigilador'!A461)</f>
        <v/>
      </c>
      <c r="B461" s="11" t="str">
        <f aca="false">IF('Carga Vigilador'!B461="","",'Carga Vigilador'!B461)</f>
        <v/>
      </c>
      <c r="C461" s="12" t="str">
        <f aca="false">IF('Carga Vigilador'!C461="","",'Carga Vigilador'!C461)</f>
        <v/>
      </c>
      <c r="D461" s="13" t="str">
        <f aca="false">IF('Carga Vigilador'!D461="","",'Carga Vigilador'!D461)</f>
        <v/>
      </c>
      <c r="E461" s="6" t="str">
        <f aca="false">IF('Carga Vigilador'!E461="","",'Carga Vigilador'!E461)</f>
        <v/>
      </c>
      <c r="F461" s="13" t="str">
        <f aca="false">IF('Carga Vigilador'!F461="","",'Carga Vigilador'!F461)</f>
        <v/>
      </c>
      <c r="G461" s="13" t="str">
        <f aca="false">IF('Carga Vigilador'!G461="","",'Carga Vigilador'!G461)</f>
        <v/>
      </c>
      <c r="H461" s="14"/>
      <c r="I461" s="15"/>
      <c r="J461" s="14"/>
      <c r="K461" s="15"/>
      <c r="L461" s="16"/>
      <c r="M461" s="17"/>
      <c r="N461" s="18" t="str">
        <f aca="false">IF(B461="","",IF(J461="Sí","Multa aplicada",IF(J461="No","Sin multa",IF(H461="Sí","Descargo enviado","Pendiente"))))</f>
        <v/>
      </c>
    </row>
    <row r="462" customFormat="false" ht="15" hidden="false" customHeight="false" outlineLevel="0" collapsed="false">
      <c r="A462" s="6" t="str">
        <f aca="false">IF('Carga Vigilador'!A462="","",'Carga Vigilador'!A462)</f>
        <v/>
      </c>
      <c r="B462" s="11" t="str">
        <f aca="false">IF('Carga Vigilador'!B462="","",'Carga Vigilador'!B462)</f>
        <v/>
      </c>
      <c r="C462" s="12" t="str">
        <f aca="false">IF('Carga Vigilador'!C462="","",'Carga Vigilador'!C462)</f>
        <v/>
      </c>
      <c r="D462" s="13" t="str">
        <f aca="false">IF('Carga Vigilador'!D462="","",'Carga Vigilador'!D462)</f>
        <v/>
      </c>
      <c r="E462" s="6" t="str">
        <f aca="false">IF('Carga Vigilador'!E462="","",'Carga Vigilador'!E462)</f>
        <v/>
      </c>
      <c r="F462" s="13" t="str">
        <f aca="false">IF('Carga Vigilador'!F462="","",'Carga Vigilador'!F462)</f>
        <v/>
      </c>
      <c r="G462" s="13" t="str">
        <f aca="false">IF('Carga Vigilador'!G462="","",'Carga Vigilador'!G462)</f>
        <v/>
      </c>
      <c r="H462" s="14"/>
      <c r="I462" s="15"/>
      <c r="J462" s="14"/>
      <c r="K462" s="15"/>
      <c r="L462" s="16"/>
      <c r="M462" s="17"/>
      <c r="N462" s="18" t="str">
        <f aca="false">IF(B462="","",IF(J462="Sí","Multa aplicada",IF(J462="No","Sin multa",IF(H462="Sí","Descargo enviado","Pendiente"))))</f>
        <v/>
      </c>
    </row>
    <row r="463" customFormat="false" ht="15" hidden="false" customHeight="false" outlineLevel="0" collapsed="false">
      <c r="A463" s="6" t="str">
        <f aca="false">IF('Carga Vigilador'!A463="","",'Carga Vigilador'!A463)</f>
        <v/>
      </c>
      <c r="B463" s="11" t="str">
        <f aca="false">IF('Carga Vigilador'!B463="","",'Carga Vigilador'!B463)</f>
        <v/>
      </c>
      <c r="C463" s="12" t="str">
        <f aca="false">IF('Carga Vigilador'!C463="","",'Carga Vigilador'!C463)</f>
        <v/>
      </c>
      <c r="D463" s="13" t="str">
        <f aca="false">IF('Carga Vigilador'!D463="","",'Carga Vigilador'!D463)</f>
        <v/>
      </c>
      <c r="E463" s="6" t="str">
        <f aca="false">IF('Carga Vigilador'!E463="","",'Carga Vigilador'!E463)</f>
        <v/>
      </c>
      <c r="F463" s="13" t="str">
        <f aca="false">IF('Carga Vigilador'!F463="","",'Carga Vigilador'!F463)</f>
        <v/>
      </c>
      <c r="G463" s="13" t="str">
        <f aca="false">IF('Carga Vigilador'!G463="","",'Carga Vigilador'!G463)</f>
        <v/>
      </c>
      <c r="H463" s="14"/>
      <c r="I463" s="15"/>
      <c r="J463" s="14"/>
      <c r="K463" s="15"/>
      <c r="L463" s="16"/>
      <c r="M463" s="17"/>
      <c r="N463" s="18" t="str">
        <f aca="false">IF(B463="","",IF(J463="Sí","Multa aplicada",IF(J463="No","Sin multa",IF(H463="Sí","Descargo enviado","Pendiente"))))</f>
        <v/>
      </c>
    </row>
    <row r="464" customFormat="false" ht="15" hidden="false" customHeight="false" outlineLevel="0" collapsed="false">
      <c r="A464" s="6" t="str">
        <f aca="false">IF('Carga Vigilador'!A464="","",'Carga Vigilador'!A464)</f>
        <v/>
      </c>
      <c r="B464" s="11" t="str">
        <f aca="false">IF('Carga Vigilador'!B464="","",'Carga Vigilador'!B464)</f>
        <v/>
      </c>
      <c r="C464" s="12" t="str">
        <f aca="false">IF('Carga Vigilador'!C464="","",'Carga Vigilador'!C464)</f>
        <v/>
      </c>
      <c r="D464" s="13" t="str">
        <f aca="false">IF('Carga Vigilador'!D464="","",'Carga Vigilador'!D464)</f>
        <v/>
      </c>
      <c r="E464" s="6" t="str">
        <f aca="false">IF('Carga Vigilador'!E464="","",'Carga Vigilador'!E464)</f>
        <v/>
      </c>
      <c r="F464" s="13" t="str">
        <f aca="false">IF('Carga Vigilador'!F464="","",'Carga Vigilador'!F464)</f>
        <v/>
      </c>
      <c r="G464" s="13" t="str">
        <f aca="false">IF('Carga Vigilador'!G464="","",'Carga Vigilador'!G464)</f>
        <v/>
      </c>
      <c r="H464" s="14"/>
      <c r="I464" s="15"/>
      <c r="J464" s="14"/>
      <c r="K464" s="15"/>
      <c r="L464" s="16"/>
      <c r="M464" s="17"/>
      <c r="N464" s="18" t="str">
        <f aca="false">IF(B464="","",IF(J464="Sí","Multa aplicada",IF(J464="No","Sin multa",IF(H464="Sí","Descargo enviado","Pendiente"))))</f>
        <v/>
      </c>
    </row>
    <row r="465" customFormat="false" ht="15" hidden="false" customHeight="false" outlineLevel="0" collapsed="false">
      <c r="A465" s="6" t="str">
        <f aca="false">IF('Carga Vigilador'!A465="","",'Carga Vigilador'!A465)</f>
        <v/>
      </c>
      <c r="B465" s="11" t="str">
        <f aca="false">IF('Carga Vigilador'!B465="","",'Carga Vigilador'!B465)</f>
        <v/>
      </c>
      <c r="C465" s="12" t="str">
        <f aca="false">IF('Carga Vigilador'!C465="","",'Carga Vigilador'!C465)</f>
        <v/>
      </c>
      <c r="D465" s="13" t="str">
        <f aca="false">IF('Carga Vigilador'!D465="","",'Carga Vigilador'!D465)</f>
        <v/>
      </c>
      <c r="E465" s="6" t="str">
        <f aca="false">IF('Carga Vigilador'!E465="","",'Carga Vigilador'!E465)</f>
        <v/>
      </c>
      <c r="F465" s="13" t="str">
        <f aca="false">IF('Carga Vigilador'!F465="","",'Carga Vigilador'!F465)</f>
        <v/>
      </c>
      <c r="G465" s="13" t="str">
        <f aca="false">IF('Carga Vigilador'!G465="","",'Carga Vigilador'!G465)</f>
        <v/>
      </c>
      <c r="H465" s="14"/>
      <c r="I465" s="15"/>
      <c r="J465" s="14"/>
      <c r="K465" s="15"/>
      <c r="L465" s="16"/>
      <c r="M465" s="17"/>
      <c r="N465" s="18" t="str">
        <f aca="false">IF(B465="","",IF(J465="Sí","Multa aplicada",IF(J465="No","Sin multa",IF(H465="Sí","Descargo enviado","Pendiente"))))</f>
        <v/>
      </c>
    </row>
    <row r="466" customFormat="false" ht="15" hidden="false" customHeight="false" outlineLevel="0" collapsed="false">
      <c r="A466" s="6" t="str">
        <f aca="false">IF('Carga Vigilador'!A466="","",'Carga Vigilador'!A466)</f>
        <v/>
      </c>
      <c r="B466" s="11" t="str">
        <f aca="false">IF('Carga Vigilador'!B466="","",'Carga Vigilador'!B466)</f>
        <v/>
      </c>
      <c r="C466" s="12" t="str">
        <f aca="false">IF('Carga Vigilador'!C466="","",'Carga Vigilador'!C466)</f>
        <v/>
      </c>
      <c r="D466" s="13" t="str">
        <f aca="false">IF('Carga Vigilador'!D466="","",'Carga Vigilador'!D466)</f>
        <v/>
      </c>
      <c r="E466" s="6" t="str">
        <f aca="false">IF('Carga Vigilador'!E466="","",'Carga Vigilador'!E466)</f>
        <v/>
      </c>
      <c r="F466" s="13" t="str">
        <f aca="false">IF('Carga Vigilador'!F466="","",'Carga Vigilador'!F466)</f>
        <v/>
      </c>
      <c r="G466" s="13" t="str">
        <f aca="false">IF('Carga Vigilador'!G466="","",'Carga Vigilador'!G466)</f>
        <v/>
      </c>
      <c r="H466" s="14"/>
      <c r="I466" s="15"/>
      <c r="J466" s="14"/>
      <c r="K466" s="15"/>
      <c r="L466" s="16"/>
      <c r="M466" s="17"/>
      <c r="N466" s="18" t="str">
        <f aca="false">IF(B466="","",IF(J466="Sí","Multa aplicada",IF(J466="No","Sin multa",IF(H466="Sí","Descargo enviado","Pendiente"))))</f>
        <v/>
      </c>
    </row>
    <row r="467" customFormat="false" ht="15" hidden="false" customHeight="false" outlineLevel="0" collapsed="false">
      <c r="A467" s="6" t="str">
        <f aca="false">IF('Carga Vigilador'!A467="","",'Carga Vigilador'!A467)</f>
        <v/>
      </c>
      <c r="B467" s="11" t="str">
        <f aca="false">IF('Carga Vigilador'!B467="","",'Carga Vigilador'!B467)</f>
        <v/>
      </c>
      <c r="C467" s="12" t="str">
        <f aca="false">IF('Carga Vigilador'!C467="","",'Carga Vigilador'!C467)</f>
        <v/>
      </c>
      <c r="D467" s="13" t="str">
        <f aca="false">IF('Carga Vigilador'!D467="","",'Carga Vigilador'!D467)</f>
        <v/>
      </c>
      <c r="E467" s="6" t="str">
        <f aca="false">IF('Carga Vigilador'!E467="","",'Carga Vigilador'!E467)</f>
        <v/>
      </c>
      <c r="F467" s="13" t="str">
        <f aca="false">IF('Carga Vigilador'!F467="","",'Carga Vigilador'!F467)</f>
        <v/>
      </c>
      <c r="G467" s="13" t="str">
        <f aca="false">IF('Carga Vigilador'!G467="","",'Carga Vigilador'!G467)</f>
        <v/>
      </c>
      <c r="H467" s="14"/>
      <c r="I467" s="15"/>
      <c r="J467" s="14"/>
      <c r="K467" s="15"/>
      <c r="L467" s="16"/>
      <c r="M467" s="17"/>
      <c r="N467" s="18" t="str">
        <f aca="false">IF(B467="","",IF(J467="Sí","Multa aplicada",IF(J467="No","Sin multa",IF(H467="Sí","Descargo enviado","Pendiente"))))</f>
        <v/>
      </c>
    </row>
    <row r="468" customFormat="false" ht="15" hidden="false" customHeight="false" outlineLevel="0" collapsed="false">
      <c r="A468" s="6" t="str">
        <f aca="false">IF('Carga Vigilador'!A468="","",'Carga Vigilador'!A468)</f>
        <v/>
      </c>
      <c r="B468" s="11" t="str">
        <f aca="false">IF('Carga Vigilador'!B468="","",'Carga Vigilador'!B468)</f>
        <v/>
      </c>
      <c r="C468" s="12" t="str">
        <f aca="false">IF('Carga Vigilador'!C468="","",'Carga Vigilador'!C468)</f>
        <v/>
      </c>
      <c r="D468" s="13" t="str">
        <f aca="false">IF('Carga Vigilador'!D468="","",'Carga Vigilador'!D468)</f>
        <v/>
      </c>
      <c r="E468" s="6" t="str">
        <f aca="false">IF('Carga Vigilador'!E468="","",'Carga Vigilador'!E468)</f>
        <v/>
      </c>
      <c r="F468" s="13" t="str">
        <f aca="false">IF('Carga Vigilador'!F468="","",'Carga Vigilador'!F468)</f>
        <v/>
      </c>
      <c r="G468" s="13" t="str">
        <f aca="false">IF('Carga Vigilador'!G468="","",'Carga Vigilador'!G468)</f>
        <v/>
      </c>
      <c r="H468" s="14"/>
      <c r="I468" s="15"/>
      <c r="J468" s="14"/>
      <c r="K468" s="15"/>
      <c r="L468" s="16"/>
      <c r="M468" s="17"/>
      <c r="N468" s="18" t="str">
        <f aca="false">IF(B468="","",IF(J468="Sí","Multa aplicada",IF(J468="No","Sin multa",IF(H468="Sí","Descargo enviado","Pendiente"))))</f>
        <v/>
      </c>
    </row>
    <row r="469" customFormat="false" ht="15" hidden="false" customHeight="false" outlineLevel="0" collapsed="false">
      <c r="A469" s="6" t="str">
        <f aca="false">IF('Carga Vigilador'!A469="","",'Carga Vigilador'!A469)</f>
        <v/>
      </c>
      <c r="B469" s="11" t="str">
        <f aca="false">IF('Carga Vigilador'!B469="","",'Carga Vigilador'!B469)</f>
        <v/>
      </c>
      <c r="C469" s="12" t="str">
        <f aca="false">IF('Carga Vigilador'!C469="","",'Carga Vigilador'!C469)</f>
        <v/>
      </c>
      <c r="D469" s="13" t="str">
        <f aca="false">IF('Carga Vigilador'!D469="","",'Carga Vigilador'!D469)</f>
        <v/>
      </c>
      <c r="E469" s="6" t="str">
        <f aca="false">IF('Carga Vigilador'!E469="","",'Carga Vigilador'!E469)</f>
        <v/>
      </c>
      <c r="F469" s="13" t="str">
        <f aca="false">IF('Carga Vigilador'!F469="","",'Carga Vigilador'!F469)</f>
        <v/>
      </c>
      <c r="G469" s="13" t="str">
        <f aca="false">IF('Carga Vigilador'!G469="","",'Carga Vigilador'!G469)</f>
        <v/>
      </c>
      <c r="H469" s="14"/>
      <c r="I469" s="15"/>
      <c r="J469" s="14"/>
      <c r="K469" s="15"/>
      <c r="L469" s="16"/>
      <c r="M469" s="17"/>
      <c r="N469" s="18" t="str">
        <f aca="false">IF(B469="","",IF(J469="Sí","Multa aplicada",IF(J469="No","Sin multa",IF(H469="Sí","Descargo enviado","Pendiente"))))</f>
        <v/>
      </c>
    </row>
    <row r="470" customFormat="false" ht="15" hidden="false" customHeight="false" outlineLevel="0" collapsed="false">
      <c r="A470" s="6" t="str">
        <f aca="false">IF('Carga Vigilador'!A470="","",'Carga Vigilador'!A470)</f>
        <v/>
      </c>
      <c r="B470" s="11" t="str">
        <f aca="false">IF('Carga Vigilador'!B470="","",'Carga Vigilador'!B470)</f>
        <v/>
      </c>
      <c r="C470" s="12" t="str">
        <f aca="false">IF('Carga Vigilador'!C470="","",'Carga Vigilador'!C470)</f>
        <v/>
      </c>
      <c r="D470" s="13" t="str">
        <f aca="false">IF('Carga Vigilador'!D470="","",'Carga Vigilador'!D470)</f>
        <v/>
      </c>
      <c r="E470" s="6" t="str">
        <f aca="false">IF('Carga Vigilador'!E470="","",'Carga Vigilador'!E470)</f>
        <v/>
      </c>
      <c r="F470" s="13" t="str">
        <f aca="false">IF('Carga Vigilador'!F470="","",'Carga Vigilador'!F470)</f>
        <v/>
      </c>
      <c r="G470" s="13" t="str">
        <f aca="false">IF('Carga Vigilador'!G470="","",'Carga Vigilador'!G470)</f>
        <v/>
      </c>
      <c r="H470" s="14"/>
      <c r="I470" s="15"/>
      <c r="J470" s="14"/>
      <c r="K470" s="15"/>
      <c r="L470" s="16"/>
      <c r="M470" s="17"/>
      <c r="N470" s="18" t="str">
        <f aca="false">IF(B470="","",IF(J470="Sí","Multa aplicada",IF(J470="No","Sin multa",IF(H470="Sí","Descargo enviado","Pendiente"))))</f>
        <v/>
      </c>
    </row>
    <row r="471" customFormat="false" ht="15" hidden="false" customHeight="false" outlineLevel="0" collapsed="false">
      <c r="A471" s="6" t="str">
        <f aca="false">IF('Carga Vigilador'!A471="","",'Carga Vigilador'!A471)</f>
        <v/>
      </c>
      <c r="B471" s="11" t="str">
        <f aca="false">IF('Carga Vigilador'!B471="","",'Carga Vigilador'!B471)</f>
        <v/>
      </c>
      <c r="C471" s="12" t="str">
        <f aca="false">IF('Carga Vigilador'!C471="","",'Carga Vigilador'!C471)</f>
        <v/>
      </c>
      <c r="D471" s="13" t="str">
        <f aca="false">IF('Carga Vigilador'!D471="","",'Carga Vigilador'!D471)</f>
        <v/>
      </c>
      <c r="E471" s="6" t="str">
        <f aca="false">IF('Carga Vigilador'!E471="","",'Carga Vigilador'!E471)</f>
        <v/>
      </c>
      <c r="F471" s="13" t="str">
        <f aca="false">IF('Carga Vigilador'!F471="","",'Carga Vigilador'!F471)</f>
        <v/>
      </c>
      <c r="G471" s="13" t="str">
        <f aca="false">IF('Carga Vigilador'!G471="","",'Carga Vigilador'!G471)</f>
        <v/>
      </c>
      <c r="H471" s="14"/>
      <c r="I471" s="15"/>
      <c r="J471" s="14"/>
      <c r="K471" s="15"/>
      <c r="L471" s="16"/>
      <c r="M471" s="17"/>
      <c r="N471" s="18" t="str">
        <f aca="false">IF(B471="","",IF(J471="Sí","Multa aplicada",IF(J471="No","Sin multa",IF(H471="Sí","Descargo enviado","Pendiente"))))</f>
        <v/>
      </c>
    </row>
    <row r="472" customFormat="false" ht="15" hidden="false" customHeight="false" outlineLevel="0" collapsed="false">
      <c r="A472" s="6" t="str">
        <f aca="false">IF('Carga Vigilador'!A472="","",'Carga Vigilador'!A472)</f>
        <v/>
      </c>
      <c r="B472" s="11" t="str">
        <f aca="false">IF('Carga Vigilador'!B472="","",'Carga Vigilador'!B472)</f>
        <v/>
      </c>
      <c r="C472" s="12" t="str">
        <f aca="false">IF('Carga Vigilador'!C472="","",'Carga Vigilador'!C472)</f>
        <v/>
      </c>
      <c r="D472" s="13" t="str">
        <f aca="false">IF('Carga Vigilador'!D472="","",'Carga Vigilador'!D472)</f>
        <v/>
      </c>
      <c r="E472" s="6" t="str">
        <f aca="false">IF('Carga Vigilador'!E472="","",'Carga Vigilador'!E472)</f>
        <v/>
      </c>
      <c r="F472" s="13" t="str">
        <f aca="false">IF('Carga Vigilador'!F472="","",'Carga Vigilador'!F472)</f>
        <v/>
      </c>
      <c r="G472" s="13" t="str">
        <f aca="false">IF('Carga Vigilador'!G472="","",'Carga Vigilador'!G472)</f>
        <v/>
      </c>
      <c r="H472" s="14"/>
      <c r="I472" s="15"/>
      <c r="J472" s="14"/>
      <c r="K472" s="15"/>
      <c r="L472" s="16"/>
      <c r="M472" s="17"/>
      <c r="N472" s="18" t="str">
        <f aca="false">IF(B472="","",IF(J472="Sí","Multa aplicada",IF(J472="No","Sin multa",IF(H472="Sí","Descargo enviado","Pendiente"))))</f>
        <v/>
      </c>
    </row>
    <row r="473" customFormat="false" ht="15" hidden="false" customHeight="false" outlineLevel="0" collapsed="false">
      <c r="A473" s="6" t="str">
        <f aca="false">IF('Carga Vigilador'!A473="","",'Carga Vigilador'!A473)</f>
        <v/>
      </c>
      <c r="B473" s="11" t="str">
        <f aca="false">IF('Carga Vigilador'!B473="","",'Carga Vigilador'!B473)</f>
        <v/>
      </c>
      <c r="C473" s="12" t="str">
        <f aca="false">IF('Carga Vigilador'!C473="","",'Carga Vigilador'!C473)</f>
        <v/>
      </c>
      <c r="D473" s="13" t="str">
        <f aca="false">IF('Carga Vigilador'!D473="","",'Carga Vigilador'!D473)</f>
        <v/>
      </c>
      <c r="E473" s="6" t="str">
        <f aca="false">IF('Carga Vigilador'!E473="","",'Carga Vigilador'!E473)</f>
        <v/>
      </c>
      <c r="F473" s="13" t="str">
        <f aca="false">IF('Carga Vigilador'!F473="","",'Carga Vigilador'!F473)</f>
        <v/>
      </c>
      <c r="G473" s="13" t="str">
        <f aca="false">IF('Carga Vigilador'!G473="","",'Carga Vigilador'!G473)</f>
        <v/>
      </c>
      <c r="H473" s="14"/>
      <c r="I473" s="15"/>
      <c r="J473" s="14"/>
      <c r="K473" s="15"/>
      <c r="L473" s="16"/>
      <c r="M473" s="17"/>
      <c r="N473" s="18" t="str">
        <f aca="false">IF(B473="","",IF(J473="Sí","Multa aplicada",IF(J473="No","Sin multa",IF(H473="Sí","Descargo enviado","Pendiente"))))</f>
        <v/>
      </c>
    </row>
    <row r="474" customFormat="false" ht="15" hidden="false" customHeight="false" outlineLevel="0" collapsed="false">
      <c r="A474" s="6" t="str">
        <f aca="false">IF('Carga Vigilador'!A474="","",'Carga Vigilador'!A474)</f>
        <v/>
      </c>
      <c r="B474" s="11" t="str">
        <f aca="false">IF('Carga Vigilador'!B474="","",'Carga Vigilador'!B474)</f>
        <v/>
      </c>
      <c r="C474" s="12" t="str">
        <f aca="false">IF('Carga Vigilador'!C474="","",'Carga Vigilador'!C474)</f>
        <v/>
      </c>
      <c r="D474" s="13" t="str">
        <f aca="false">IF('Carga Vigilador'!D474="","",'Carga Vigilador'!D474)</f>
        <v/>
      </c>
      <c r="E474" s="6" t="str">
        <f aca="false">IF('Carga Vigilador'!E474="","",'Carga Vigilador'!E474)</f>
        <v/>
      </c>
      <c r="F474" s="13" t="str">
        <f aca="false">IF('Carga Vigilador'!F474="","",'Carga Vigilador'!F474)</f>
        <v/>
      </c>
      <c r="G474" s="13" t="str">
        <f aca="false">IF('Carga Vigilador'!G474="","",'Carga Vigilador'!G474)</f>
        <v/>
      </c>
      <c r="H474" s="14"/>
      <c r="I474" s="15"/>
      <c r="J474" s="14"/>
      <c r="K474" s="15"/>
      <c r="L474" s="16"/>
      <c r="M474" s="17"/>
      <c r="N474" s="18" t="str">
        <f aca="false">IF(B474="","",IF(J474="Sí","Multa aplicada",IF(J474="No","Sin multa",IF(H474="Sí","Descargo enviado","Pendiente"))))</f>
        <v/>
      </c>
    </row>
    <row r="475" customFormat="false" ht="15" hidden="false" customHeight="false" outlineLevel="0" collapsed="false">
      <c r="A475" s="6" t="str">
        <f aca="false">IF('Carga Vigilador'!A475="","",'Carga Vigilador'!A475)</f>
        <v/>
      </c>
      <c r="B475" s="11" t="str">
        <f aca="false">IF('Carga Vigilador'!B475="","",'Carga Vigilador'!B475)</f>
        <v/>
      </c>
      <c r="C475" s="12" t="str">
        <f aca="false">IF('Carga Vigilador'!C475="","",'Carga Vigilador'!C475)</f>
        <v/>
      </c>
      <c r="D475" s="13" t="str">
        <f aca="false">IF('Carga Vigilador'!D475="","",'Carga Vigilador'!D475)</f>
        <v/>
      </c>
      <c r="E475" s="6" t="str">
        <f aca="false">IF('Carga Vigilador'!E475="","",'Carga Vigilador'!E475)</f>
        <v/>
      </c>
      <c r="F475" s="13" t="str">
        <f aca="false">IF('Carga Vigilador'!F475="","",'Carga Vigilador'!F475)</f>
        <v/>
      </c>
      <c r="G475" s="13" t="str">
        <f aca="false">IF('Carga Vigilador'!G475="","",'Carga Vigilador'!G475)</f>
        <v/>
      </c>
      <c r="H475" s="14"/>
      <c r="I475" s="15"/>
      <c r="J475" s="14"/>
      <c r="K475" s="15"/>
      <c r="L475" s="16"/>
      <c r="M475" s="17"/>
      <c r="N475" s="18" t="str">
        <f aca="false">IF(B475="","",IF(J475="Sí","Multa aplicada",IF(J475="No","Sin multa",IF(H475="Sí","Descargo enviado","Pendiente"))))</f>
        <v/>
      </c>
    </row>
    <row r="476" customFormat="false" ht="15" hidden="false" customHeight="false" outlineLevel="0" collapsed="false">
      <c r="A476" s="6" t="str">
        <f aca="false">IF('Carga Vigilador'!A476="","",'Carga Vigilador'!A476)</f>
        <v/>
      </c>
      <c r="B476" s="11" t="str">
        <f aca="false">IF('Carga Vigilador'!B476="","",'Carga Vigilador'!B476)</f>
        <v/>
      </c>
      <c r="C476" s="12" t="str">
        <f aca="false">IF('Carga Vigilador'!C476="","",'Carga Vigilador'!C476)</f>
        <v/>
      </c>
      <c r="D476" s="13" t="str">
        <f aca="false">IF('Carga Vigilador'!D476="","",'Carga Vigilador'!D476)</f>
        <v/>
      </c>
      <c r="E476" s="6" t="str">
        <f aca="false">IF('Carga Vigilador'!E476="","",'Carga Vigilador'!E476)</f>
        <v/>
      </c>
      <c r="F476" s="13" t="str">
        <f aca="false">IF('Carga Vigilador'!F476="","",'Carga Vigilador'!F476)</f>
        <v/>
      </c>
      <c r="G476" s="13" t="str">
        <f aca="false">IF('Carga Vigilador'!G476="","",'Carga Vigilador'!G476)</f>
        <v/>
      </c>
      <c r="H476" s="14"/>
      <c r="I476" s="15"/>
      <c r="J476" s="14"/>
      <c r="K476" s="15"/>
      <c r="L476" s="16"/>
      <c r="M476" s="17"/>
      <c r="N476" s="18" t="str">
        <f aca="false">IF(B476="","",IF(J476="Sí","Multa aplicada",IF(J476="No","Sin multa",IF(H476="Sí","Descargo enviado","Pendiente"))))</f>
        <v/>
      </c>
    </row>
    <row r="477" customFormat="false" ht="15" hidden="false" customHeight="false" outlineLevel="0" collapsed="false">
      <c r="A477" s="6" t="str">
        <f aca="false">IF('Carga Vigilador'!A477="","",'Carga Vigilador'!A477)</f>
        <v/>
      </c>
      <c r="B477" s="11" t="str">
        <f aca="false">IF('Carga Vigilador'!B477="","",'Carga Vigilador'!B477)</f>
        <v/>
      </c>
      <c r="C477" s="12" t="str">
        <f aca="false">IF('Carga Vigilador'!C477="","",'Carga Vigilador'!C477)</f>
        <v/>
      </c>
      <c r="D477" s="13" t="str">
        <f aca="false">IF('Carga Vigilador'!D477="","",'Carga Vigilador'!D477)</f>
        <v/>
      </c>
      <c r="E477" s="6" t="str">
        <f aca="false">IF('Carga Vigilador'!E477="","",'Carga Vigilador'!E477)</f>
        <v/>
      </c>
      <c r="F477" s="13" t="str">
        <f aca="false">IF('Carga Vigilador'!F477="","",'Carga Vigilador'!F477)</f>
        <v/>
      </c>
      <c r="G477" s="13" t="str">
        <f aca="false">IF('Carga Vigilador'!G477="","",'Carga Vigilador'!G477)</f>
        <v/>
      </c>
      <c r="H477" s="14"/>
      <c r="I477" s="15"/>
      <c r="J477" s="14"/>
      <c r="K477" s="15"/>
      <c r="L477" s="16"/>
      <c r="M477" s="17"/>
      <c r="N477" s="18" t="str">
        <f aca="false">IF(B477="","",IF(J477="Sí","Multa aplicada",IF(J477="No","Sin multa",IF(H477="Sí","Descargo enviado","Pendiente"))))</f>
        <v/>
      </c>
    </row>
    <row r="478" customFormat="false" ht="15" hidden="false" customHeight="false" outlineLevel="0" collapsed="false">
      <c r="A478" s="6" t="str">
        <f aca="false">IF('Carga Vigilador'!A478="","",'Carga Vigilador'!A478)</f>
        <v/>
      </c>
      <c r="B478" s="11" t="str">
        <f aca="false">IF('Carga Vigilador'!B478="","",'Carga Vigilador'!B478)</f>
        <v/>
      </c>
      <c r="C478" s="12" t="str">
        <f aca="false">IF('Carga Vigilador'!C478="","",'Carga Vigilador'!C478)</f>
        <v/>
      </c>
      <c r="D478" s="13" t="str">
        <f aca="false">IF('Carga Vigilador'!D478="","",'Carga Vigilador'!D478)</f>
        <v/>
      </c>
      <c r="E478" s="6" t="str">
        <f aca="false">IF('Carga Vigilador'!E478="","",'Carga Vigilador'!E478)</f>
        <v/>
      </c>
      <c r="F478" s="13" t="str">
        <f aca="false">IF('Carga Vigilador'!F478="","",'Carga Vigilador'!F478)</f>
        <v/>
      </c>
      <c r="G478" s="13" t="str">
        <f aca="false">IF('Carga Vigilador'!G478="","",'Carga Vigilador'!G478)</f>
        <v/>
      </c>
      <c r="H478" s="14"/>
      <c r="I478" s="15"/>
      <c r="J478" s="14"/>
      <c r="K478" s="15"/>
      <c r="L478" s="16"/>
      <c r="M478" s="17"/>
      <c r="N478" s="18" t="str">
        <f aca="false">IF(B478="","",IF(J478="Sí","Multa aplicada",IF(J478="No","Sin multa",IF(H478="Sí","Descargo enviado","Pendiente"))))</f>
        <v/>
      </c>
    </row>
    <row r="479" customFormat="false" ht="15" hidden="false" customHeight="false" outlineLevel="0" collapsed="false">
      <c r="A479" s="6" t="str">
        <f aca="false">IF('Carga Vigilador'!A479="","",'Carga Vigilador'!A479)</f>
        <v/>
      </c>
      <c r="B479" s="11" t="str">
        <f aca="false">IF('Carga Vigilador'!B479="","",'Carga Vigilador'!B479)</f>
        <v/>
      </c>
      <c r="C479" s="12" t="str">
        <f aca="false">IF('Carga Vigilador'!C479="","",'Carga Vigilador'!C479)</f>
        <v/>
      </c>
      <c r="D479" s="13" t="str">
        <f aca="false">IF('Carga Vigilador'!D479="","",'Carga Vigilador'!D479)</f>
        <v/>
      </c>
      <c r="E479" s="6" t="str">
        <f aca="false">IF('Carga Vigilador'!E479="","",'Carga Vigilador'!E479)</f>
        <v/>
      </c>
      <c r="F479" s="13" t="str">
        <f aca="false">IF('Carga Vigilador'!F479="","",'Carga Vigilador'!F479)</f>
        <v/>
      </c>
      <c r="G479" s="13" t="str">
        <f aca="false">IF('Carga Vigilador'!G479="","",'Carga Vigilador'!G479)</f>
        <v/>
      </c>
      <c r="H479" s="14"/>
      <c r="I479" s="15"/>
      <c r="J479" s="14"/>
      <c r="K479" s="15"/>
      <c r="L479" s="16"/>
      <c r="M479" s="17"/>
      <c r="N479" s="18" t="str">
        <f aca="false">IF(B479="","",IF(J479="Sí","Multa aplicada",IF(J479="No","Sin multa",IF(H479="Sí","Descargo enviado","Pendiente"))))</f>
        <v/>
      </c>
    </row>
    <row r="480" customFormat="false" ht="15" hidden="false" customHeight="false" outlineLevel="0" collapsed="false">
      <c r="A480" s="6" t="str">
        <f aca="false">IF('Carga Vigilador'!A480="","",'Carga Vigilador'!A480)</f>
        <v/>
      </c>
      <c r="B480" s="11" t="str">
        <f aca="false">IF('Carga Vigilador'!B480="","",'Carga Vigilador'!B480)</f>
        <v/>
      </c>
      <c r="C480" s="12" t="str">
        <f aca="false">IF('Carga Vigilador'!C480="","",'Carga Vigilador'!C480)</f>
        <v/>
      </c>
      <c r="D480" s="13" t="str">
        <f aca="false">IF('Carga Vigilador'!D480="","",'Carga Vigilador'!D480)</f>
        <v/>
      </c>
      <c r="E480" s="6" t="str">
        <f aca="false">IF('Carga Vigilador'!E480="","",'Carga Vigilador'!E480)</f>
        <v/>
      </c>
      <c r="F480" s="13" t="str">
        <f aca="false">IF('Carga Vigilador'!F480="","",'Carga Vigilador'!F480)</f>
        <v/>
      </c>
      <c r="G480" s="13" t="str">
        <f aca="false">IF('Carga Vigilador'!G480="","",'Carga Vigilador'!G480)</f>
        <v/>
      </c>
      <c r="H480" s="14"/>
      <c r="I480" s="15"/>
      <c r="J480" s="14"/>
      <c r="K480" s="15"/>
      <c r="L480" s="16"/>
      <c r="M480" s="17"/>
      <c r="N480" s="18" t="str">
        <f aca="false">IF(B480="","",IF(J480="Sí","Multa aplicada",IF(J480="No","Sin multa",IF(H480="Sí","Descargo enviado","Pendiente"))))</f>
        <v/>
      </c>
    </row>
    <row r="481" customFormat="false" ht="15" hidden="false" customHeight="false" outlineLevel="0" collapsed="false">
      <c r="A481" s="6" t="str">
        <f aca="false">IF('Carga Vigilador'!A481="","",'Carga Vigilador'!A481)</f>
        <v/>
      </c>
      <c r="B481" s="11" t="str">
        <f aca="false">IF('Carga Vigilador'!B481="","",'Carga Vigilador'!B481)</f>
        <v/>
      </c>
      <c r="C481" s="12" t="str">
        <f aca="false">IF('Carga Vigilador'!C481="","",'Carga Vigilador'!C481)</f>
        <v/>
      </c>
      <c r="D481" s="13" t="str">
        <f aca="false">IF('Carga Vigilador'!D481="","",'Carga Vigilador'!D481)</f>
        <v/>
      </c>
      <c r="E481" s="6" t="str">
        <f aca="false">IF('Carga Vigilador'!E481="","",'Carga Vigilador'!E481)</f>
        <v/>
      </c>
      <c r="F481" s="13" t="str">
        <f aca="false">IF('Carga Vigilador'!F481="","",'Carga Vigilador'!F481)</f>
        <v/>
      </c>
      <c r="G481" s="13" t="str">
        <f aca="false">IF('Carga Vigilador'!G481="","",'Carga Vigilador'!G481)</f>
        <v/>
      </c>
      <c r="H481" s="14"/>
      <c r="I481" s="15"/>
      <c r="J481" s="14"/>
      <c r="K481" s="15"/>
      <c r="L481" s="16"/>
      <c r="M481" s="17"/>
      <c r="N481" s="18" t="str">
        <f aca="false">IF(B481="","",IF(J481="Sí","Multa aplicada",IF(J481="No","Sin multa",IF(H481="Sí","Descargo enviado","Pendiente"))))</f>
        <v/>
      </c>
    </row>
    <row r="482" customFormat="false" ht="15" hidden="false" customHeight="false" outlineLevel="0" collapsed="false">
      <c r="A482" s="6" t="str">
        <f aca="false">IF('Carga Vigilador'!A482="","",'Carga Vigilador'!A482)</f>
        <v/>
      </c>
      <c r="B482" s="11" t="str">
        <f aca="false">IF('Carga Vigilador'!B482="","",'Carga Vigilador'!B482)</f>
        <v/>
      </c>
      <c r="C482" s="12" t="str">
        <f aca="false">IF('Carga Vigilador'!C482="","",'Carga Vigilador'!C482)</f>
        <v/>
      </c>
      <c r="D482" s="13" t="str">
        <f aca="false">IF('Carga Vigilador'!D482="","",'Carga Vigilador'!D482)</f>
        <v/>
      </c>
      <c r="E482" s="6" t="str">
        <f aca="false">IF('Carga Vigilador'!E482="","",'Carga Vigilador'!E482)</f>
        <v/>
      </c>
      <c r="F482" s="13" t="str">
        <f aca="false">IF('Carga Vigilador'!F482="","",'Carga Vigilador'!F482)</f>
        <v/>
      </c>
      <c r="G482" s="13" t="str">
        <f aca="false">IF('Carga Vigilador'!G482="","",'Carga Vigilador'!G482)</f>
        <v/>
      </c>
      <c r="H482" s="14"/>
      <c r="I482" s="15"/>
      <c r="J482" s="14"/>
      <c r="K482" s="15"/>
      <c r="L482" s="16"/>
      <c r="M482" s="17"/>
      <c r="N482" s="18" t="str">
        <f aca="false">IF(B482="","",IF(J482="Sí","Multa aplicada",IF(J482="No","Sin multa",IF(H482="Sí","Descargo enviado","Pendiente"))))</f>
        <v/>
      </c>
    </row>
    <row r="483" customFormat="false" ht="15" hidden="false" customHeight="false" outlineLevel="0" collapsed="false">
      <c r="A483" s="6" t="str">
        <f aca="false">IF('Carga Vigilador'!A483="","",'Carga Vigilador'!A483)</f>
        <v/>
      </c>
      <c r="B483" s="11" t="str">
        <f aca="false">IF('Carga Vigilador'!B483="","",'Carga Vigilador'!B483)</f>
        <v/>
      </c>
      <c r="C483" s="12" t="str">
        <f aca="false">IF('Carga Vigilador'!C483="","",'Carga Vigilador'!C483)</f>
        <v/>
      </c>
      <c r="D483" s="13" t="str">
        <f aca="false">IF('Carga Vigilador'!D483="","",'Carga Vigilador'!D483)</f>
        <v/>
      </c>
      <c r="E483" s="6" t="str">
        <f aca="false">IF('Carga Vigilador'!E483="","",'Carga Vigilador'!E483)</f>
        <v/>
      </c>
      <c r="F483" s="13" t="str">
        <f aca="false">IF('Carga Vigilador'!F483="","",'Carga Vigilador'!F483)</f>
        <v/>
      </c>
      <c r="G483" s="13" t="str">
        <f aca="false">IF('Carga Vigilador'!G483="","",'Carga Vigilador'!G483)</f>
        <v/>
      </c>
      <c r="H483" s="14"/>
      <c r="I483" s="15"/>
      <c r="J483" s="14"/>
      <c r="K483" s="15"/>
      <c r="L483" s="16"/>
      <c r="M483" s="17"/>
      <c r="N483" s="18" t="str">
        <f aca="false">IF(B483="","",IF(J483="Sí","Multa aplicada",IF(J483="No","Sin multa",IF(H483="Sí","Descargo enviado","Pendiente"))))</f>
        <v/>
      </c>
    </row>
    <row r="484" customFormat="false" ht="15" hidden="false" customHeight="false" outlineLevel="0" collapsed="false">
      <c r="A484" s="6" t="str">
        <f aca="false">IF('Carga Vigilador'!A484="","",'Carga Vigilador'!A484)</f>
        <v/>
      </c>
      <c r="B484" s="11" t="str">
        <f aca="false">IF('Carga Vigilador'!B484="","",'Carga Vigilador'!B484)</f>
        <v/>
      </c>
      <c r="C484" s="12" t="str">
        <f aca="false">IF('Carga Vigilador'!C484="","",'Carga Vigilador'!C484)</f>
        <v/>
      </c>
      <c r="D484" s="13" t="str">
        <f aca="false">IF('Carga Vigilador'!D484="","",'Carga Vigilador'!D484)</f>
        <v/>
      </c>
      <c r="E484" s="6" t="str">
        <f aca="false">IF('Carga Vigilador'!E484="","",'Carga Vigilador'!E484)</f>
        <v/>
      </c>
      <c r="F484" s="13" t="str">
        <f aca="false">IF('Carga Vigilador'!F484="","",'Carga Vigilador'!F484)</f>
        <v/>
      </c>
      <c r="G484" s="13" t="str">
        <f aca="false">IF('Carga Vigilador'!G484="","",'Carga Vigilador'!G484)</f>
        <v/>
      </c>
      <c r="H484" s="14"/>
      <c r="I484" s="15"/>
      <c r="J484" s="14"/>
      <c r="K484" s="15"/>
      <c r="L484" s="16"/>
      <c r="M484" s="17"/>
      <c r="N484" s="18" t="str">
        <f aca="false">IF(B484="","",IF(J484="Sí","Multa aplicada",IF(J484="No","Sin multa",IF(H484="Sí","Descargo enviado","Pendiente"))))</f>
        <v/>
      </c>
    </row>
    <row r="485" customFormat="false" ht="15" hidden="false" customHeight="false" outlineLevel="0" collapsed="false">
      <c r="A485" s="6" t="str">
        <f aca="false">IF('Carga Vigilador'!A485="","",'Carga Vigilador'!A485)</f>
        <v/>
      </c>
      <c r="B485" s="11" t="str">
        <f aca="false">IF('Carga Vigilador'!B485="","",'Carga Vigilador'!B485)</f>
        <v/>
      </c>
      <c r="C485" s="12" t="str">
        <f aca="false">IF('Carga Vigilador'!C485="","",'Carga Vigilador'!C485)</f>
        <v/>
      </c>
      <c r="D485" s="13" t="str">
        <f aca="false">IF('Carga Vigilador'!D485="","",'Carga Vigilador'!D485)</f>
        <v/>
      </c>
      <c r="E485" s="6" t="str">
        <f aca="false">IF('Carga Vigilador'!E485="","",'Carga Vigilador'!E485)</f>
        <v/>
      </c>
      <c r="F485" s="13" t="str">
        <f aca="false">IF('Carga Vigilador'!F485="","",'Carga Vigilador'!F485)</f>
        <v/>
      </c>
      <c r="G485" s="13" t="str">
        <f aca="false">IF('Carga Vigilador'!G485="","",'Carga Vigilador'!G485)</f>
        <v/>
      </c>
      <c r="H485" s="14"/>
      <c r="I485" s="15"/>
      <c r="J485" s="14"/>
      <c r="K485" s="15"/>
      <c r="L485" s="16"/>
      <c r="M485" s="17"/>
      <c r="N485" s="18" t="str">
        <f aca="false">IF(B485="","",IF(J485="Sí","Multa aplicada",IF(J485="No","Sin multa",IF(H485="Sí","Descargo enviado","Pendiente"))))</f>
        <v/>
      </c>
    </row>
    <row r="486" customFormat="false" ht="15" hidden="false" customHeight="false" outlineLevel="0" collapsed="false">
      <c r="A486" s="6" t="str">
        <f aca="false">IF('Carga Vigilador'!A486="","",'Carga Vigilador'!A486)</f>
        <v/>
      </c>
      <c r="B486" s="11" t="str">
        <f aca="false">IF('Carga Vigilador'!B486="","",'Carga Vigilador'!B486)</f>
        <v/>
      </c>
      <c r="C486" s="12" t="str">
        <f aca="false">IF('Carga Vigilador'!C486="","",'Carga Vigilador'!C486)</f>
        <v/>
      </c>
      <c r="D486" s="13" t="str">
        <f aca="false">IF('Carga Vigilador'!D486="","",'Carga Vigilador'!D486)</f>
        <v/>
      </c>
      <c r="E486" s="6" t="str">
        <f aca="false">IF('Carga Vigilador'!E486="","",'Carga Vigilador'!E486)</f>
        <v/>
      </c>
      <c r="F486" s="13" t="str">
        <f aca="false">IF('Carga Vigilador'!F486="","",'Carga Vigilador'!F486)</f>
        <v/>
      </c>
      <c r="G486" s="13" t="str">
        <f aca="false">IF('Carga Vigilador'!G486="","",'Carga Vigilador'!G486)</f>
        <v/>
      </c>
      <c r="H486" s="14"/>
      <c r="I486" s="15"/>
      <c r="J486" s="14"/>
      <c r="K486" s="15"/>
      <c r="L486" s="16"/>
      <c r="M486" s="17"/>
      <c r="N486" s="18" t="str">
        <f aca="false">IF(B486="","",IF(J486="Sí","Multa aplicada",IF(J486="No","Sin multa",IF(H486="Sí","Descargo enviado","Pendiente"))))</f>
        <v/>
      </c>
    </row>
    <row r="487" customFormat="false" ht="15" hidden="false" customHeight="false" outlineLevel="0" collapsed="false">
      <c r="A487" s="6" t="str">
        <f aca="false">IF('Carga Vigilador'!A487="","",'Carga Vigilador'!A487)</f>
        <v/>
      </c>
      <c r="B487" s="11" t="str">
        <f aca="false">IF('Carga Vigilador'!B487="","",'Carga Vigilador'!B487)</f>
        <v/>
      </c>
      <c r="C487" s="12" t="str">
        <f aca="false">IF('Carga Vigilador'!C487="","",'Carga Vigilador'!C487)</f>
        <v/>
      </c>
      <c r="D487" s="13" t="str">
        <f aca="false">IF('Carga Vigilador'!D487="","",'Carga Vigilador'!D487)</f>
        <v/>
      </c>
      <c r="E487" s="6" t="str">
        <f aca="false">IF('Carga Vigilador'!E487="","",'Carga Vigilador'!E487)</f>
        <v/>
      </c>
      <c r="F487" s="13" t="str">
        <f aca="false">IF('Carga Vigilador'!F487="","",'Carga Vigilador'!F487)</f>
        <v/>
      </c>
      <c r="G487" s="13" t="str">
        <f aca="false">IF('Carga Vigilador'!G487="","",'Carga Vigilador'!G487)</f>
        <v/>
      </c>
      <c r="H487" s="14"/>
      <c r="I487" s="15"/>
      <c r="J487" s="14"/>
      <c r="K487" s="15"/>
      <c r="L487" s="16"/>
      <c r="M487" s="17"/>
      <c r="N487" s="18" t="str">
        <f aca="false">IF(B487="","",IF(J487="Sí","Multa aplicada",IF(J487="No","Sin multa",IF(H487="Sí","Descargo enviado","Pendiente"))))</f>
        <v/>
      </c>
    </row>
    <row r="488" customFormat="false" ht="15" hidden="false" customHeight="false" outlineLevel="0" collapsed="false">
      <c r="A488" s="6" t="str">
        <f aca="false">IF('Carga Vigilador'!A488="","",'Carga Vigilador'!A488)</f>
        <v/>
      </c>
      <c r="B488" s="11" t="str">
        <f aca="false">IF('Carga Vigilador'!B488="","",'Carga Vigilador'!B488)</f>
        <v/>
      </c>
      <c r="C488" s="12" t="str">
        <f aca="false">IF('Carga Vigilador'!C488="","",'Carga Vigilador'!C488)</f>
        <v/>
      </c>
      <c r="D488" s="13" t="str">
        <f aca="false">IF('Carga Vigilador'!D488="","",'Carga Vigilador'!D488)</f>
        <v/>
      </c>
      <c r="E488" s="6" t="str">
        <f aca="false">IF('Carga Vigilador'!E488="","",'Carga Vigilador'!E488)</f>
        <v/>
      </c>
      <c r="F488" s="13" t="str">
        <f aca="false">IF('Carga Vigilador'!F488="","",'Carga Vigilador'!F488)</f>
        <v/>
      </c>
      <c r="G488" s="13" t="str">
        <f aca="false">IF('Carga Vigilador'!G488="","",'Carga Vigilador'!G488)</f>
        <v/>
      </c>
      <c r="H488" s="14"/>
      <c r="I488" s="15"/>
      <c r="J488" s="14"/>
      <c r="K488" s="15"/>
      <c r="L488" s="16"/>
      <c r="M488" s="17"/>
      <c r="N488" s="18" t="str">
        <f aca="false">IF(B488="","",IF(J488="Sí","Multa aplicada",IF(J488="No","Sin multa",IF(H488="Sí","Descargo enviado","Pendiente"))))</f>
        <v/>
      </c>
    </row>
    <row r="489" customFormat="false" ht="15" hidden="false" customHeight="false" outlineLevel="0" collapsed="false">
      <c r="A489" s="6" t="str">
        <f aca="false">IF('Carga Vigilador'!A489="","",'Carga Vigilador'!A489)</f>
        <v/>
      </c>
      <c r="B489" s="11" t="str">
        <f aca="false">IF('Carga Vigilador'!B489="","",'Carga Vigilador'!B489)</f>
        <v/>
      </c>
      <c r="C489" s="12" t="str">
        <f aca="false">IF('Carga Vigilador'!C489="","",'Carga Vigilador'!C489)</f>
        <v/>
      </c>
      <c r="D489" s="13" t="str">
        <f aca="false">IF('Carga Vigilador'!D489="","",'Carga Vigilador'!D489)</f>
        <v/>
      </c>
      <c r="E489" s="6" t="str">
        <f aca="false">IF('Carga Vigilador'!E489="","",'Carga Vigilador'!E489)</f>
        <v/>
      </c>
      <c r="F489" s="13" t="str">
        <f aca="false">IF('Carga Vigilador'!F489="","",'Carga Vigilador'!F489)</f>
        <v/>
      </c>
      <c r="G489" s="13" t="str">
        <f aca="false">IF('Carga Vigilador'!G489="","",'Carga Vigilador'!G489)</f>
        <v/>
      </c>
      <c r="H489" s="14"/>
      <c r="I489" s="15"/>
      <c r="J489" s="14"/>
      <c r="K489" s="15"/>
      <c r="L489" s="16"/>
      <c r="M489" s="17"/>
      <c r="N489" s="18" t="str">
        <f aca="false">IF(B489="","",IF(J489="Sí","Multa aplicada",IF(J489="No","Sin multa",IF(H489="Sí","Descargo enviado","Pendiente"))))</f>
        <v/>
      </c>
    </row>
    <row r="490" customFormat="false" ht="15" hidden="false" customHeight="false" outlineLevel="0" collapsed="false">
      <c r="A490" s="6" t="str">
        <f aca="false">IF('Carga Vigilador'!A490="","",'Carga Vigilador'!A490)</f>
        <v/>
      </c>
      <c r="B490" s="11" t="str">
        <f aca="false">IF('Carga Vigilador'!B490="","",'Carga Vigilador'!B490)</f>
        <v/>
      </c>
      <c r="C490" s="12" t="str">
        <f aca="false">IF('Carga Vigilador'!C490="","",'Carga Vigilador'!C490)</f>
        <v/>
      </c>
      <c r="D490" s="13" t="str">
        <f aca="false">IF('Carga Vigilador'!D490="","",'Carga Vigilador'!D490)</f>
        <v/>
      </c>
      <c r="E490" s="6" t="str">
        <f aca="false">IF('Carga Vigilador'!E490="","",'Carga Vigilador'!E490)</f>
        <v/>
      </c>
      <c r="F490" s="13" t="str">
        <f aca="false">IF('Carga Vigilador'!F490="","",'Carga Vigilador'!F490)</f>
        <v/>
      </c>
      <c r="G490" s="13" t="str">
        <f aca="false">IF('Carga Vigilador'!G490="","",'Carga Vigilador'!G490)</f>
        <v/>
      </c>
      <c r="H490" s="14"/>
      <c r="I490" s="15"/>
      <c r="J490" s="14"/>
      <c r="K490" s="15"/>
      <c r="L490" s="16"/>
      <c r="M490" s="17"/>
      <c r="N490" s="18" t="str">
        <f aca="false">IF(B490="","",IF(J490="Sí","Multa aplicada",IF(J490="No","Sin multa",IF(H490="Sí","Descargo enviado","Pendiente"))))</f>
        <v/>
      </c>
    </row>
    <row r="491" customFormat="false" ht="15" hidden="false" customHeight="false" outlineLevel="0" collapsed="false">
      <c r="A491" s="6" t="str">
        <f aca="false">IF('Carga Vigilador'!A491="","",'Carga Vigilador'!A491)</f>
        <v/>
      </c>
      <c r="B491" s="11" t="str">
        <f aca="false">IF('Carga Vigilador'!B491="","",'Carga Vigilador'!B491)</f>
        <v/>
      </c>
      <c r="C491" s="12" t="str">
        <f aca="false">IF('Carga Vigilador'!C491="","",'Carga Vigilador'!C491)</f>
        <v/>
      </c>
      <c r="D491" s="13" t="str">
        <f aca="false">IF('Carga Vigilador'!D491="","",'Carga Vigilador'!D491)</f>
        <v/>
      </c>
      <c r="E491" s="6" t="str">
        <f aca="false">IF('Carga Vigilador'!E491="","",'Carga Vigilador'!E491)</f>
        <v/>
      </c>
      <c r="F491" s="13" t="str">
        <f aca="false">IF('Carga Vigilador'!F491="","",'Carga Vigilador'!F491)</f>
        <v/>
      </c>
      <c r="G491" s="13" t="str">
        <f aca="false">IF('Carga Vigilador'!G491="","",'Carga Vigilador'!G491)</f>
        <v/>
      </c>
      <c r="H491" s="14"/>
      <c r="I491" s="15"/>
      <c r="J491" s="14"/>
      <c r="K491" s="15"/>
      <c r="L491" s="16"/>
      <c r="M491" s="17"/>
      <c r="N491" s="18" t="str">
        <f aca="false">IF(B491="","",IF(J491="Sí","Multa aplicada",IF(J491="No","Sin multa",IF(H491="Sí","Descargo enviado","Pendiente"))))</f>
        <v/>
      </c>
    </row>
    <row r="492" customFormat="false" ht="15" hidden="false" customHeight="false" outlineLevel="0" collapsed="false">
      <c r="A492" s="6" t="str">
        <f aca="false">IF('Carga Vigilador'!A492="","",'Carga Vigilador'!A492)</f>
        <v/>
      </c>
      <c r="B492" s="11" t="str">
        <f aca="false">IF('Carga Vigilador'!B492="","",'Carga Vigilador'!B492)</f>
        <v/>
      </c>
      <c r="C492" s="12" t="str">
        <f aca="false">IF('Carga Vigilador'!C492="","",'Carga Vigilador'!C492)</f>
        <v/>
      </c>
      <c r="D492" s="13" t="str">
        <f aca="false">IF('Carga Vigilador'!D492="","",'Carga Vigilador'!D492)</f>
        <v/>
      </c>
      <c r="E492" s="6" t="str">
        <f aca="false">IF('Carga Vigilador'!E492="","",'Carga Vigilador'!E492)</f>
        <v/>
      </c>
      <c r="F492" s="13" t="str">
        <f aca="false">IF('Carga Vigilador'!F492="","",'Carga Vigilador'!F492)</f>
        <v/>
      </c>
      <c r="G492" s="13" t="str">
        <f aca="false">IF('Carga Vigilador'!G492="","",'Carga Vigilador'!G492)</f>
        <v/>
      </c>
      <c r="H492" s="14"/>
      <c r="I492" s="15"/>
      <c r="J492" s="14"/>
      <c r="K492" s="15"/>
      <c r="L492" s="16"/>
      <c r="M492" s="17"/>
      <c r="N492" s="18" t="str">
        <f aca="false">IF(B492="","",IF(J492="Sí","Multa aplicada",IF(J492="No","Sin multa",IF(H492="Sí","Descargo enviado","Pendiente"))))</f>
        <v/>
      </c>
    </row>
    <row r="493" customFormat="false" ht="15" hidden="false" customHeight="false" outlineLevel="0" collapsed="false">
      <c r="A493" s="6" t="str">
        <f aca="false">IF('Carga Vigilador'!A493="","",'Carga Vigilador'!A493)</f>
        <v/>
      </c>
      <c r="B493" s="11" t="str">
        <f aca="false">IF('Carga Vigilador'!B493="","",'Carga Vigilador'!B493)</f>
        <v/>
      </c>
      <c r="C493" s="12" t="str">
        <f aca="false">IF('Carga Vigilador'!C493="","",'Carga Vigilador'!C493)</f>
        <v/>
      </c>
      <c r="D493" s="13" t="str">
        <f aca="false">IF('Carga Vigilador'!D493="","",'Carga Vigilador'!D493)</f>
        <v/>
      </c>
      <c r="E493" s="6" t="str">
        <f aca="false">IF('Carga Vigilador'!E493="","",'Carga Vigilador'!E493)</f>
        <v/>
      </c>
      <c r="F493" s="13" t="str">
        <f aca="false">IF('Carga Vigilador'!F493="","",'Carga Vigilador'!F493)</f>
        <v/>
      </c>
      <c r="G493" s="13" t="str">
        <f aca="false">IF('Carga Vigilador'!G493="","",'Carga Vigilador'!G493)</f>
        <v/>
      </c>
      <c r="H493" s="14"/>
      <c r="I493" s="15"/>
      <c r="J493" s="14"/>
      <c r="K493" s="15"/>
      <c r="L493" s="16"/>
      <c r="M493" s="17"/>
      <c r="N493" s="18" t="str">
        <f aca="false">IF(B493="","",IF(J493="Sí","Multa aplicada",IF(J493="No","Sin multa",IF(H493="Sí","Descargo enviado","Pendiente"))))</f>
        <v/>
      </c>
    </row>
    <row r="494" customFormat="false" ht="15" hidden="false" customHeight="false" outlineLevel="0" collapsed="false">
      <c r="A494" s="6" t="str">
        <f aca="false">IF('Carga Vigilador'!A494="","",'Carga Vigilador'!A494)</f>
        <v/>
      </c>
      <c r="B494" s="11" t="str">
        <f aca="false">IF('Carga Vigilador'!B494="","",'Carga Vigilador'!B494)</f>
        <v/>
      </c>
      <c r="C494" s="12" t="str">
        <f aca="false">IF('Carga Vigilador'!C494="","",'Carga Vigilador'!C494)</f>
        <v/>
      </c>
      <c r="D494" s="13" t="str">
        <f aca="false">IF('Carga Vigilador'!D494="","",'Carga Vigilador'!D494)</f>
        <v/>
      </c>
      <c r="E494" s="6" t="str">
        <f aca="false">IF('Carga Vigilador'!E494="","",'Carga Vigilador'!E494)</f>
        <v/>
      </c>
      <c r="F494" s="13" t="str">
        <f aca="false">IF('Carga Vigilador'!F494="","",'Carga Vigilador'!F494)</f>
        <v/>
      </c>
      <c r="G494" s="13" t="str">
        <f aca="false">IF('Carga Vigilador'!G494="","",'Carga Vigilador'!G494)</f>
        <v/>
      </c>
      <c r="H494" s="14"/>
      <c r="I494" s="15"/>
      <c r="J494" s="14"/>
      <c r="K494" s="15"/>
      <c r="L494" s="16"/>
      <c r="M494" s="17"/>
      <c r="N494" s="18" t="str">
        <f aca="false">IF(B494="","",IF(J494="Sí","Multa aplicada",IF(J494="No","Sin multa",IF(H494="Sí","Descargo enviado","Pendiente"))))</f>
        <v/>
      </c>
    </row>
    <row r="495" customFormat="false" ht="15" hidden="false" customHeight="false" outlineLevel="0" collapsed="false">
      <c r="A495" s="6" t="str">
        <f aca="false">IF('Carga Vigilador'!A495="","",'Carga Vigilador'!A495)</f>
        <v/>
      </c>
      <c r="B495" s="11" t="str">
        <f aca="false">IF('Carga Vigilador'!B495="","",'Carga Vigilador'!B495)</f>
        <v/>
      </c>
      <c r="C495" s="12" t="str">
        <f aca="false">IF('Carga Vigilador'!C495="","",'Carga Vigilador'!C495)</f>
        <v/>
      </c>
      <c r="D495" s="13" t="str">
        <f aca="false">IF('Carga Vigilador'!D495="","",'Carga Vigilador'!D495)</f>
        <v/>
      </c>
      <c r="E495" s="6" t="str">
        <f aca="false">IF('Carga Vigilador'!E495="","",'Carga Vigilador'!E495)</f>
        <v/>
      </c>
      <c r="F495" s="13" t="str">
        <f aca="false">IF('Carga Vigilador'!F495="","",'Carga Vigilador'!F495)</f>
        <v/>
      </c>
      <c r="G495" s="13" t="str">
        <f aca="false">IF('Carga Vigilador'!G495="","",'Carga Vigilador'!G495)</f>
        <v/>
      </c>
      <c r="H495" s="14"/>
      <c r="I495" s="15"/>
      <c r="J495" s="14"/>
      <c r="K495" s="15"/>
      <c r="L495" s="16"/>
      <c r="M495" s="17"/>
      <c r="N495" s="18" t="str">
        <f aca="false">IF(B495="","",IF(J495="Sí","Multa aplicada",IF(J495="No","Sin multa",IF(H495="Sí","Descargo enviado","Pendiente"))))</f>
        <v/>
      </c>
    </row>
    <row r="496" customFormat="false" ht="15" hidden="false" customHeight="false" outlineLevel="0" collapsed="false">
      <c r="A496" s="6" t="str">
        <f aca="false">IF('Carga Vigilador'!A496="","",'Carga Vigilador'!A496)</f>
        <v/>
      </c>
      <c r="B496" s="11" t="str">
        <f aca="false">IF('Carga Vigilador'!B496="","",'Carga Vigilador'!B496)</f>
        <v/>
      </c>
      <c r="C496" s="12" t="str">
        <f aca="false">IF('Carga Vigilador'!C496="","",'Carga Vigilador'!C496)</f>
        <v/>
      </c>
      <c r="D496" s="13" t="str">
        <f aca="false">IF('Carga Vigilador'!D496="","",'Carga Vigilador'!D496)</f>
        <v/>
      </c>
      <c r="E496" s="6" t="str">
        <f aca="false">IF('Carga Vigilador'!E496="","",'Carga Vigilador'!E496)</f>
        <v/>
      </c>
      <c r="F496" s="13" t="str">
        <f aca="false">IF('Carga Vigilador'!F496="","",'Carga Vigilador'!F496)</f>
        <v/>
      </c>
      <c r="G496" s="13" t="str">
        <f aca="false">IF('Carga Vigilador'!G496="","",'Carga Vigilador'!G496)</f>
        <v/>
      </c>
      <c r="H496" s="14"/>
      <c r="I496" s="15"/>
      <c r="J496" s="14"/>
      <c r="K496" s="15"/>
      <c r="L496" s="16"/>
      <c r="M496" s="17"/>
      <c r="N496" s="18" t="str">
        <f aca="false">IF(B496="","",IF(J496="Sí","Multa aplicada",IF(J496="No","Sin multa",IF(H496="Sí","Descargo enviado","Pendiente"))))</f>
        <v/>
      </c>
    </row>
    <row r="497" customFormat="false" ht="15" hidden="false" customHeight="false" outlineLevel="0" collapsed="false">
      <c r="A497" s="6" t="str">
        <f aca="false">IF('Carga Vigilador'!A497="","",'Carga Vigilador'!A497)</f>
        <v/>
      </c>
      <c r="B497" s="11" t="str">
        <f aca="false">IF('Carga Vigilador'!B497="","",'Carga Vigilador'!B497)</f>
        <v/>
      </c>
      <c r="C497" s="12" t="str">
        <f aca="false">IF('Carga Vigilador'!C497="","",'Carga Vigilador'!C497)</f>
        <v/>
      </c>
      <c r="D497" s="13" t="str">
        <f aca="false">IF('Carga Vigilador'!D497="","",'Carga Vigilador'!D497)</f>
        <v/>
      </c>
      <c r="E497" s="6" t="str">
        <f aca="false">IF('Carga Vigilador'!E497="","",'Carga Vigilador'!E497)</f>
        <v/>
      </c>
      <c r="F497" s="13" t="str">
        <f aca="false">IF('Carga Vigilador'!F497="","",'Carga Vigilador'!F497)</f>
        <v/>
      </c>
      <c r="G497" s="13" t="str">
        <f aca="false">IF('Carga Vigilador'!G497="","",'Carga Vigilador'!G497)</f>
        <v/>
      </c>
      <c r="H497" s="14"/>
      <c r="I497" s="15"/>
      <c r="J497" s="14"/>
      <c r="K497" s="15"/>
      <c r="L497" s="16"/>
      <c r="M497" s="17"/>
      <c r="N497" s="18" t="str">
        <f aca="false">IF(B497="","",IF(J497="Sí","Multa aplicada",IF(J497="No","Sin multa",IF(H497="Sí","Descargo enviado","Pendiente"))))</f>
        <v/>
      </c>
    </row>
    <row r="498" customFormat="false" ht="15" hidden="false" customHeight="false" outlineLevel="0" collapsed="false">
      <c r="A498" s="6" t="str">
        <f aca="false">IF('Carga Vigilador'!A498="","",'Carga Vigilador'!A498)</f>
        <v/>
      </c>
      <c r="B498" s="11" t="str">
        <f aca="false">IF('Carga Vigilador'!B498="","",'Carga Vigilador'!B498)</f>
        <v/>
      </c>
      <c r="C498" s="12" t="str">
        <f aca="false">IF('Carga Vigilador'!C498="","",'Carga Vigilador'!C498)</f>
        <v/>
      </c>
      <c r="D498" s="13" t="str">
        <f aca="false">IF('Carga Vigilador'!D498="","",'Carga Vigilador'!D498)</f>
        <v/>
      </c>
      <c r="E498" s="6" t="str">
        <f aca="false">IF('Carga Vigilador'!E498="","",'Carga Vigilador'!E498)</f>
        <v/>
      </c>
      <c r="F498" s="13" t="str">
        <f aca="false">IF('Carga Vigilador'!F498="","",'Carga Vigilador'!F498)</f>
        <v/>
      </c>
      <c r="G498" s="13" t="str">
        <f aca="false">IF('Carga Vigilador'!G498="","",'Carga Vigilador'!G498)</f>
        <v/>
      </c>
      <c r="H498" s="14"/>
      <c r="I498" s="15"/>
      <c r="J498" s="14"/>
      <c r="K498" s="15"/>
      <c r="L498" s="16"/>
      <c r="M498" s="17"/>
      <c r="N498" s="18" t="str">
        <f aca="false">IF(B498="","",IF(J498="Sí","Multa aplicada",IF(J498="No","Sin multa",IF(H498="Sí","Descargo enviado","Pendiente"))))</f>
        <v/>
      </c>
    </row>
    <row r="499" customFormat="false" ht="15" hidden="false" customHeight="false" outlineLevel="0" collapsed="false">
      <c r="A499" s="6" t="str">
        <f aca="false">IF('Carga Vigilador'!A499="","",'Carga Vigilador'!A499)</f>
        <v/>
      </c>
      <c r="B499" s="11" t="str">
        <f aca="false">IF('Carga Vigilador'!B499="","",'Carga Vigilador'!B499)</f>
        <v/>
      </c>
      <c r="C499" s="12" t="str">
        <f aca="false">IF('Carga Vigilador'!C499="","",'Carga Vigilador'!C499)</f>
        <v/>
      </c>
      <c r="D499" s="13" t="str">
        <f aca="false">IF('Carga Vigilador'!D499="","",'Carga Vigilador'!D499)</f>
        <v/>
      </c>
      <c r="E499" s="6" t="str">
        <f aca="false">IF('Carga Vigilador'!E499="","",'Carga Vigilador'!E499)</f>
        <v/>
      </c>
      <c r="F499" s="13" t="str">
        <f aca="false">IF('Carga Vigilador'!F499="","",'Carga Vigilador'!F499)</f>
        <v/>
      </c>
      <c r="G499" s="13" t="str">
        <f aca="false">IF('Carga Vigilador'!G499="","",'Carga Vigilador'!G499)</f>
        <v/>
      </c>
      <c r="H499" s="14"/>
      <c r="I499" s="15"/>
      <c r="J499" s="14"/>
      <c r="K499" s="15"/>
      <c r="L499" s="16"/>
      <c r="M499" s="17"/>
      <c r="N499" s="18" t="str">
        <f aca="false">IF(B499="","",IF(J499="Sí","Multa aplicada",IF(J499="No","Sin multa",IF(H499="Sí","Descargo enviado","Pendiente"))))</f>
        <v/>
      </c>
    </row>
    <row r="500" customFormat="false" ht="15" hidden="false" customHeight="false" outlineLevel="0" collapsed="false">
      <c r="A500" s="6" t="str">
        <f aca="false">IF('Carga Vigilador'!A500="","",'Carga Vigilador'!A500)</f>
        <v/>
      </c>
      <c r="B500" s="11" t="str">
        <f aca="false">IF('Carga Vigilador'!B500="","",'Carga Vigilador'!B500)</f>
        <v/>
      </c>
      <c r="C500" s="12" t="str">
        <f aca="false">IF('Carga Vigilador'!C500="","",'Carga Vigilador'!C500)</f>
        <v/>
      </c>
      <c r="D500" s="13" t="str">
        <f aca="false">IF('Carga Vigilador'!D500="","",'Carga Vigilador'!D500)</f>
        <v/>
      </c>
      <c r="E500" s="6" t="str">
        <f aca="false">IF('Carga Vigilador'!E500="","",'Carga Vigilador'!E500)</f>
        <v/>
      </c>
      <c r="F500" s="13" t="str">
        <f aca="false">IF('Carga Vigilador'!F500="","",'Carga Vigilador'!F500)</f>
        <v/>
      </c>
      <c r="G500" s="13" t="str">
        <f aca="false">IF('Carga Vigilador'!G500="","",'Carga Vigilador'!G500)</f>
        <v/>
      </c>
      <c r="H500" s="14"/>
      <c r="I500" s="15"/>
      <c r="J500" s="14"/>
      <c r="K500" s="15"/>
      <c r="L500" s="16"/>
      <c r="M500" s="17"/>
      <c r="N500" s="18" t="str">
        <f aca="false">IF(B500="","",IF(J500="Sí","Multa aplicada",IF(J500="No","Sin multa",IF(H500="Sí","Descargo enviado","Pendiente"))))</f>
        <v/>
      </c>
    </row>
    <row r="501" customFormat="false" ht="15" hidden="false" customHeight="false" outlineLevel="0" collapsed="false">
      <c r="A501" s="6" t="str">
        <f aca="false">IF('Carga Vigilador'!A501="","",'Carga Vigilador'!A501)</f>
        <v/>
      </c>
      <c r="B501" s="11" t="str">
        <f aca="false">IF('Carga Vigilador'!B501="","",'Carga Vigilador'!B501)</f>
        <v/>
      </c>
      <c r="C501" s="12" t="str">
        <f aca="false">IF('Carga Vigilador'!C501="","",'Carga Vigilador'!C501)</f>
        <v/>
      </c>
      <c r="D501" s="13" t="str">
        <f aca="false">IF('Carga Vigilador'!D501="","",'Carga Vigilador'!D501)</f>
        <v/>
      </c>
      <c r="E501" s="6" t="str">
        <f aca="false">IF('Carga Vigilador'!E501="","",'Carga Vigilador'!E501)</f>
        <v/>
      </c>
      <c r="F501" s="13" t="str">
        <f aca="false">IF('Carga Vigilador'!F501="","",'Carga Vigilador'!F501)</f>
        <v/>
      </c>
      <c r="G501" s="13" t="str">
        <f aca="false">IF('Carga Vigilador'!G501="","",'Carga Vigilador'!G501)</f>
        <v/>
      </c>
      <c r="H501" s="14"/>
      <c r="I501" s="15"/>
      <c r="J501" s="14"/>
      <c r="K501" s="15"/>
      <c r="L501" s="16"/>
      <c r="M501" s="17"/>
      <c r="N501" s="18" t="str">
        <f aca="false">IF(B501="","",IF(J501="Sí","Multa aplicada",IF(J501="No","Sin multa",IF(H501="Sí","Descargo enviado","Pendiente"))))</f>
        <v/>
      </c>
    </row>
    <row r="502" customFormat="false" ht="15" hidden="false" customHeight="false" outlineLevel="0" collapsed="false">
      <c r="A502" s="6" t="str">
        <f aca="false">IF('Carga Vigilador'!A502="","",'Carga Vigilador'!A502)</f>
        <v/>
      </c>
      <c r="B502" s="11" t="str">
        <f aca="false">IF('Carga Vigilador'!B502="","",'Carga Vigilador'!B502)</f>
        <v/>
      </c>
      <c r="C502" s="12" t="str">
        <f aca="false">IF('Carga Vigilador'!C502="","",'Carga Vigilador'!C502)</f>
        <v/>
      </c>
      <c r="D502" s="13" t="str">
        <f aca="false">IF('Carga Vigilador'!D502="","",'Carga Vigilador'!D502)</f>
        <v/>
      </c>
      <c r="E502" s="6" t="str">
        <f aca="false">IF('Carga Vigilador'!E502="","",'Carga Vigilador'!E502)</f>
        <v/>
      </c>
      <c r="F502" s="13" t="str">
        <f aca="false">IF('Carga Vigilador'!F502="","",'Carga Vigilador'!F502)</f>
        <v/>
      </c>
      <c r="G502" s="13" t="str">
        <f aca="false">IF('Carga Vigilador'!G502="","",'Carga Vigilador'!G502)</f>
        <v/>
      </c>
      <c r="H502" s="14"/>
      <c r="I502" s="15"/>
      <c r="J502" s="14"/>
      <c r="K502" s="15"/>
      <c r="L502" s="16"/>
      <c r="M502" s="17"/>
      <c r="N502" s="18" t="str">
        <f aca="false">IF(B502="","",IF(J502="Sí","Multa aplicada",IF(J502="No","Sin multa",IF(H502="Sí","Descargo enviado","Pendiente"))))</f>
        <v/>
      </c>
    </row>
    <row r="503" customFormat="false" ht="15" hidden="false" customHeight="false" outlineLevel="0" collapsed="false">
      <c r="A503" s="6" t="str">
        <f aca="false">IF('Carga Vigilador'!A503="","",'Carga Vigilador'!A503)</f>
        <v/>
      </c>
      <c r="B503" s="11" t="str">
        <f aca="false">IF('Carga Vigilador'!B503="","",'Carga Vigilador'!B503)</f>
        <v/>
      </c>
      <c r="C503" s="12" t="str">
        <f aca="false">IF('Carga Vigilador'!C503="","",'Carga Vigilador'!C503)</f>
        <v/>
      </c>
      <c r="D503" s="13" t="str">
        <f aca="false">IF('Carga Vigilador'!D503="","",'Carga Vigilador'!D503)</f>
        <v/>
      </c>
      <c r="E503" s="6" t="str">
        <f aca="false">IF('Carga Vigilador'!E503="","",'Carga Vigilador'!E503)</f>
        <v/>
      </c>
      <c r="F503" s="13" t="str">
        <f aca="false">IF('Carga Vigilador'!F503="","",'Carga Vigilador'!F503)</f>
        <v/>
      </c>
      <c r="G503" s="13" t="str">
        <f aca="false">IF('Carga Vigilador'!G503="","",'Carga Vigilador'!G503)</f>
        <v/>
      </c>
      <c r="H503" s="14"/>
      <c r="I503" s="15"/>
      <c r="J503" s="14"/>
      <c r="K503" s="15"/>
      <c r="L503" s="16"/>
      <c r="M503" s="17"/>
      <c r="N503" s="18" t="str">
        <f aca="false">IF(B503="","",IF(J503="Sí","Multa aplicada",IF(J503="No","Sin multa",IF(H503="Sí","Descargo enviado","Pendiente"))))</f>
        <v/>
      </c>
    </row>
  </sheetData>
  <autoFilter ref="A3:N503"/>
  <conditionalFormatting sqref="N4:N503">
    <cfRule type="expression" priority="2" aboveAverage="0" equalAverage="0" bottom="0" percent="0" rank="0" text="" dxfId="7">
      <formula>N4="Pendiente"</formula>
    </cfRule>
    <cfRule type="expression" priority="3" aboveAverage="0" equalAverage="0" bottom="0" percent="0" rank="0" text="" dxfId="8">
      <formula>N4="Descargo enviado"</formula>
    </cfRule>
    <cfRule type="expression" priority="4" aboveAverage="0" equalAverage="0" bottom="0" percent="0" rank="0" text="" dxfId="9">
      <formula>N4="Multa aplicada"</formula>
    </cfRule>
    <cfRule type="expression" priority="5" aboveAverage="0" equalAverage="0" bottom="0" percent="0" rank="0" text="" dxfId="10">
      <formula>N4="Sin multa"</formula>
    </cfRule>
  </conditionalFormatting>
  <dataValidations count="2">
    <dataValidation allowBlank="true" error="Elegir Sí o No" errorStyle="stop" operator="between" showDropDown="false" showErrorMessage="true" showInputMessage="false" sqref="H4:H503 J4:J503" type="list">
      <formula1>"Sí,No"</formula1>
      <formula2>0</formula2>
    </dataValidation>
    <dataValidation allowBlank="true" error="Ingresar fecha dd/mm/aaaa" errorStyle="stop" errorTitle="Fecha" operator="greaterThan" showDropDown="false" showErrorMessage="true" showInputMessage="false" sqref="I4:I503 K4:K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40"/>
  </cols>
  <sheetData>
    <row r="1" customFormat="false" ht="17.35" hidden="false" customHeight="false" outlineLevel="0" collapsed="false">
      <c r="A1" s="3" t="s">
        <v>33</v>
      </c>
    </row>
    <row r="2" customFormat="false" ht="15" hidden="false" customHeight="false" outlineLevel="0" collapsed="false">
      <c r="A2" s="4" t="s">
        <v>34</v>
      </c>
    </row>
    <row r="4" customFormat="false" ht="15" hidden="false" customHeight="false" outlineLevel="0" collapsed="false">
      <c r="A4" s="19" t="s">
        <v>35</v>
      </c>
      <c r="B4" s="20" t="n">
        <v>46296</v>
      </c>
    </row>
    <row r="5" customFormat="false" ht="15" hidden="false" customHeight="false" outlineLevel="0" collapsed="false">
      <c r="A5" s="19" t="s">
        <v>36</v>
      </c>
      <c r="B5" s="20" t="n">
        <v>46326</v>
      </c>
    </row>
    <row r="6" customFormat="false" ht="15" hidden="false" customHeight="false" outlineLevel="0" collapsed="false">
      <c r="A6" s="19" t="s">
        <v>37</v>
      </c>
      <c r="B6" s="21"/>
      <c r="C6" s="4" t="s">
        <v>38</v>
      </c>
    </row>
    <row r="8" customFormat="false" ht="15" hidden="false" customHeight="false" outlineLevel="0" collapsed="false">
      <c r="A8" s="22" t="s">
        <v>39</v>
      </c>
      <c r="B8" s="22" t="s">
        <v>40</v>
      </c>
      <c r="C8" s="22" t="s">
        <v>41</v>
      </c>
    </row>
    <row r="9" customFormat="false" ht="16.15" hidden="false" customHeight="false" outlineLevel="0" collapsed="false">
      <c r="A9" s="23" t="s">
        <v>42</v>
      </c>
      <c r="B9" s="24" t="n">
        <f aca="false">IF($B$6="",COUNTIFS('Carga Administración'!$B$4:$B$503,"&gt;="&amp;$B$4,'Carga Administración'!$B$4:$B$503,"&lt;="&amp;$B$5),COUNTIFS('Carga Administración'!$B$4:$B$503,"&gt;="&amp;$B$4,'Carga Administración'!$B$4:$B$503,"&lt;="&amp;$B$5,'Carga Administración'!$E$4:$E$503,$B$6))</f>
        <v>1</v>
      </c>
      <c r="C9" s="25" t="s">
        <v>43</v>
      </c>
    </row>
    <row r="10" customFormat="false" ht="16.15" hidden="false" customHeight="false" outlineLevel="0" collapsed="false">
      <c r="A10" s="23" t="s">
        <v>44</v>
      </c>
      <c r="B10" s="24" t="n">
        <f aca="false">IF($B$6="",COUNTIFS('Carga Administración'!$H$4:$H$503,"Sí",'Carga Administración'!$I$4:$I$503,"&gt;="&amp;$B$4,'Carga Administración'!$I$4:$I$503,"&lt;="&amp;$B$5),COUNTIFS('Carga Administración'!$H$4:$H$503,"Sí",'Carga Administración'!$I$4:$I$503,"&gt;="&amp;$B$4,'Carga Administración'!$I$4:$I$503,"&lt;="&amp;$B$5,'Carga Administración'!$E$4:$E$503,$B$6))</f>
        <v>0</v>
      </c>
      <c r="C10" s="25" t="s">
        <v>45</v>
      </c>
    </row>
    <row r="11" customFormat="false" ht="16.15" hidden="false" customHeight="false" outlineLevel="0" collapsed="false">
      <c r="A11" s="23" t="s">
        <v>46</v>
      </c>
      <c r="B11" s="24" t="n">
        <f aca="false">IF($B$6="",COUNTIFS('Carga Administración'!$J$4:$J$503,"Sí",'Carga Administración'!$K$4:$K$503,"&gt;="&amp;$B$4,'Carga Administración'!$K$4:$K$503,"&lt;="&amp;$B$5),COUNTIFS('Carga Administración'!$J$4:$J$503,"Sí",'Carga Administración'!$K$4:$K$503,"&gt;="&amp;$B$4,'Carga Administración'!$K$4:$K$503,"&lt;="&amp;$B$5,'Carga Administración'!$E$4:$E$503,$B$6))</f>
        <v>0</v>
      </c>
      <c r="C11" s="25" t="s">
        <v>47</v>
      </c>
    </row>
    <row r="12" customFormat="false" ht="16.15" hidden="false" customHeight="false" outlineLevel="0" collapsed="false">
      <c r="A12" s="23" t="s">
        <v>48</v>
      </c>
      <c r="B12" s="26" t="n">
        <f aca="false">IF($B$6="",SUMIFS('Carga Administración'!$L$4:$L$503,'Carga Administración'!$J$4:$J$503,"Sí",'Carga Administración'!$K$4:$K$503,"&gt;="&amp;$B$4,'Carga Administración'!$K$4:$K$503,"&lt;="&amp;$B$5),SUMIFS('Carga Administración'!$L$4:$L$503,'Carga Administración'!$J$4:$J$503,"Sí",'Carga Administración'!$K$4:$K$503,"&gt;="&amp;$B$4,'Carga Administración'!$K$4:$K$503,"&lt;="&amp;$B$5,'Carga Administración'!$E$4:$E$503,$B$6))</f>
        <v>0</v>
      </c>
      <c r="C12" s="25" t="s">
        <v>47</v>
      </c>
    </row>
    <row r="13" customFormat="false" ht="16.15" hidden="false" customHeight="false" outlineLevel="0" collapsed="false">
      <c r="A13" s="23" t="s">
        <v>49</v>
      </c>
      <c r="B13" s="24" t="n">
        <f aca="false">IF($B$6="",COUNTIFS('Carga Administración'!$N$4:$N$503,"Pendiente",'Carga Administración'!$B$4:$B$503,"&gt;="&amp;$B$4,'Carga Administración'!$B$4:$B$503,"&lt;="&amp;$B$5),COUNTIFS('Carga Administración'!$N$4:$N$503,"Pendiente",'Carga Administración'!$B$4:$B$503,"&gt;="&amp;$B$4,'Carga Administración'!$B$4:$B$503,"&lt;="&amp;$B$5,'Carga Administración'!$E$4:$E$503,$B$6))</f>
        <v>1</v>
      </c>
      <c r="C13" s="25"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2026-10-14T15:59:06Z</dcterms:created>
  <dc:creator>openpyxl</dc:creator>
  <dc:description/>
  <dc:language>en-US</dc:language>
  <cp:lastModifiedBy/>
  <dcterms:modified xsi:type="dcterms:W3CDTF">2026-10-14T15:59:07Z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