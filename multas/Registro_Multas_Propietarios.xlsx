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ciones" sheetId="1" state="visible" r:id="rId3"/>
    <sheet name="Registro de Multas" sheetId="2" state="visible" r:id="rId4"/>
    <sheet name="Resumen" sheetId="3" state="visible" r:id="rId5"/>
    <sheet name="Listas" sheetId="4" state="visible" r:id="rId6"/>
  </sheets>
  <definedNames>
    <definedName function="false" hidden="true" localSheetId="1" name="_xlnm._FilterDatabase" vbProcedure="false">'Registro de Multas'!$A$3:$T$503</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D4" authorId="0">
      <text>
        <r>
          <rPr>
            <sz val="10"/>
            <rFont val="Arial"/>
            <family val="2"/>
          </rPr>
          <t xml:space="preserve">Completar con el nombre del vigilador que labró el acta (no figura en el relato).</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E2" authorId="0">
      <text>
        <r>
          <rPr>
            <sz val="10"/>
            <rFont val="Arial"/>
            <family val="2"/>
          </rPr>
          <t xml:space="preserve">Escribí acá el número de lote a consultar.</t>
        </r>
      </text>
    </comment>
  </commentList>
</comments>
</file>

<file path=xl/sharedStrings.xml><?xml version="1.0" encoding="utf-8"?>
<sst xmlns="http://schemas.openxmlformats.org/spreadsheetml/2006/main" count="97" uniqueCount="89">
  <si>
    <t xml:space="preserve">CÓMO USAR EL REGISTRO DE MULTAS</t>
  </si>
  <si>
    <t xml:space="preserve">1. Cada acta va en una fila nueva de la hoja 'Registro de Multas' (hay 500 filas preparadas).</t>
  </si>
  <si>
    <t xml:space="preserve">2. Columnas AZUL CLARO (A–I) → las completa la GUARDIA: fecha, hora, vigilador, lote, infractor, vínculo, tipo y situación observada.</t>
  </si>
  <si>
    <t xml:space="preserve">3. Columnas AMARILLAS (J–R) → las completa la ADMINISTRACIÓN: descargo enviado y fecha, respuesta del propietario, multa aplicada y fecha, valor, pago y observaciones.</t>
  </si>
  <si>
    <t xml:space="preserve">4. Columnas VERDES (N° Acta, Estado del caso, Días desde el hecho) se calculan solas. No escribir en ellas.</t>
  </si>
  <si>
    <t xml:space="preserve">5. Fechas en formato dd/mm/aaaa; hora en formato hh:mm (ej. 12:49).</t>
  </si>
  <si>
    <t xml:space="preserve">6. Las listas desplegables (vigiladores, tipos de infracción, etc.) se editan en la hoja 'Listas'. Reemplazá 'Vigilador 1, 2, 3' por los nombres reales.</t>
  </si>
  <si>
    <t xml:space="preserve">7. Flujo del caso: Pendiente enviar descargo → Esperando respuesta → Descargo respondido → Multa aplicada → Cerrado (cobrada o desestimada).</t>
  </si>
  <si>
    <t xml:space="preserve">8. La hoja 'Resumen' muestra totales y permite consultar un lote puntual (celda amarilla E2).</t>
  </si>
  <si>
    <t xml:space="preserve">9. La fila 4 es un EJEMPLO cargado con el acta del 13/10/2026 (lote 92). Completá el vigilador o borrala si no corresponde.</t>
  </si>
  <si>
    <t xml:space="preserve">PASAR A GOOGLE DRIVE (Google Sheets)</t>
  </si>
  <si>
    <t xml:space="preserve">a) Subí este archivo a Google Drive → clic derecho → Abrir con → Hojas de cálculo de Google → Archivo → Guardar como Hojas de cálculo de Google.</t>
  </si>
  <si>
    <t xml:space="preserve">b) Compartí el archivo: la guardia con permiso de 'Editor' (o usá un Formulario de Google vinculado) y la administración como 'Editor'.</t>
  </si>
  <si>
    <t xml:space="preserve">c) Recomendado: Datos → Proteger hojas y rangos → proteger columnas J–T para que solo la administración pueda editarlas.</t>
  </si>
  <si>
    <t xml:space="preserve">REGISTRO DE ACTAS Y MULTAS — PROPIETARIOS</t>
  </si>
  <si>
    <t xml:space="preserve">CARGA GUARDIA / VIGILANCIA</t>
  </si>
  <si>
    <t xml:space="preserve">CARGA ADMINISTRACIÓN</t>
  </si>
  <si>
    <t xml:space="preserve">AUTOMÁTICO (no editar)</t>
  </si>
  <si>
    <t xml:space="preserve">N° Acta</t>
  </si>
  <si>
    <t xml:space="preserve">Fecha del hecho</t>
  </si>
  <si>
    <t xml:space="preserve">Hora</t>
  </si>
  <si>
    <t xml:space="preserve">Vigilador</t>
  </si>
  <si>
    <t xml:space="preserve">Lote N°</t>
  </si>
  <si>
    <t xml:space="preserve">Nombre del infractor</t>
  </si>
  <si>
    <t xml:space="preserve">Vínculo con el lote</t>
  </si>
  <si>
    <t xml:space="preserve">Tipo de infracción</t>
  </si>
  <si>
    <t xml:space="preserve">Situación observada (descripción del hecho)</t>
  </si>
  <si>
    <t xml:space="preserve">Descargo enviado</t>
  </si>
  <si>
    <t xml:space="preserve">Fecha envío descargo</t>
  </si>
  <si>
    <t xml:space="preserve">Fecha respuesta del propietario</t>
  </si>
  <si>
    <t xml:space="preserve">Multa aplicada</t>
  </si>
  <si>
    <t xml:space="preserve">Fecha aplicación multa</t>
  </si>
  <si>
    <t xml:space="preserve">Valor multa ($)</t>
  </si>
  <si>
    <t xml:space="preserve">Pago</t>
  </si>
  <si>
    <t xml:space="preserve">Fecha de pago</t>
  </si>
  <si>
    <t xml:space="preserve">Observaciones administración</t>
  </si>
  <si>
    <t xml:space="preserve">Estado del caso</t>
  </si>
  <si>
    <t xml:space="preserve">Días desde el hecho</t>
  </si>
  <si>
    <t xml:space="preserve">A completar</t>
  </si>
  <si>
    <t xml:space="preserve">TAGLIANI MATIAS EZEQUIEL</t>
  </si>
  <si>
    <t xml:space="preserve">Familiar de propietario</t>
  </si>
  <si>
    <t xml:space="preserve">Uso indebido de carril + maltrato + exceso de velocidad</t>
  </si>
  <si>
    <t xml:space="preserve">En el día de la fecha 13/10/2026 siendo las 12:49 hs se hace presente en guardia por el sector de salidas de propietarios el señor TAGLIANI MATIAS EZEQUIEL, hijo de propietario de lote 92 queriendo salir por ese carril cuando no cuenta con facial, se le pide amablemente que debe salir por el lado de visitas, el mismo se niega y habla de mala manera al personal gritando que no va a salir por visitas y acelerando el vehículo excediendo la velocidad.</t>
  </si>
  <si>
    <t xml:space="preserve">Pendiente</t>
  </si>
  <si>
    <t xml:space="preserve">RESUMEN DE MULTAS</t>
  </si>
  <si>
    <t xml:space="preserve">Indicador</t>
  </si>
  <si>
    <t xml:space="preserve">Valor</t>
  </si>
  <si>
    <t xml:space="preserve">Consulta por lote</t>
  </si>
  <si>
    <t xml:space="preserve">Total de actas registradas</t>
  </si>
  <si>
    <t xml:space="preserve">Actas del lote</t>
  </si>
  <si>
    <t xml:space="preserve">Pendientes de enviar descargo</t>
  </si>
  <si>
    <t xml:space="preserve">Multas aplicadas al lote</t>
  </si>
  <si>
    <t xml:space="preserve">Esperando respuesta de descargo</t>
  </si>
  <si>
    <t xml:space="preserve">Monto multas aplicadas ($)</t>
  </si>
  <si>
    <t xml:space="preserve">Descargo respondido - a resolver</t>
  </si>
  <si>
    <t xml:space="preserve">Monto impago ($)</t>
  </si>
  <si>
    <t xml:space="preserve">Multas aplicadas</t>
  </si>
  <si>
    <t xml:space="preserve">Multas desestimadas</t>
  </si>
  <si>
    <t xml:space="preserve">Monto total multas aplicadas ($)</t>
  </si>
  <si>
    <t xml:space="preserve">Monto cobrado ($)</t>
  </si>
  <si>
    <t xml:space="preserve">Monto pendiente de cobro ($)</t>
  </si>
  <si>
    <t xml:space="preserve">Listas desplegables — podés agregar o modificar valores debajo de cada título (hasta la fila 50).</t>
  </si>
  <si>
    <t xml:space="preserve">Vigiladores</t>
  </si>
  <si>
    <t xml:space="preserve">Sí / No</t>
  </si>
  <si>
    <t xml:space="preserve">Estado multa</t>
  </si>
  <si>
    <t xml:space="preserve">Propietario</t>
  </si>
  <si>
    <t xml:space="preserve">Uso indebido de carril / acceso</t>
  </si>
  <si>
    <t xml:space="preserve">Sí</t>
  </si>
  <si>
    <t xml:space="preserve">Vigilador 1</t>
  </si>
  <si>
    <t xml:space="preserve">Maltrato / agresión verbal al personal</t>
  </si>
  <si>
    <t xml:space="preserve">No</t>
  </si>
  <si>
    <t xml:space="preserve">En análisis</t>
  </si>
  <si>
    <t xml:space="preserve">Pagada</t>
  </si>
  <si>
    <t xml:space="preserve">Vigilador 2</t>
  </si>
  <si>
    <t xml:space="preserve">Inquilino</t>
  </si>
  <si>
    <t xml:space="preserve">Exceso de velocidad</t>
  </si>
  <si>
    <t xml:space="preserve">Aplicada</t>
  </si>
  <si>
    <t xml:space="preserve">Incluida en expensas</t>
  </si>
  <si>
    <t xml:space="preserve">Vigilador 3</t>
  </si>
  <si>
    <t xml:space="preserve">Visita</t>
  </si>
  <si>
    <t xml:space="preserve">Desestimada</t>
  </si>
  <si>
    <t xml:space="preserve">Contratista / Obrero</t>
  </si>
  <si>
    <t xml:space="preserve">Ruidos molestos</t>
  </si>
  <si>
    <t xml:space="preserve">Personal doméstico</t>
  </si>
  <si>
    <t xml:space="preserve">Mascotas sueltas</t>
  </si>
  <si>
    <t xml:space="preserve">Ingreso no autorizado</t>
  </si>
  <si>
    <t xml:space="preserve">Obra fuera de horario</t>
  </si>
  <si>
    <t xml:space="preserve">Residuos / limpieza</t>
  </si>
  <si>
    <t xml:space="preserve">Otra (detallar)</t>
  </si>
</sst>
</file>

<file path=xl/styles.xml><?xml version="1.0" encoding="utf-8"?>
<styleSheet xmlns="http://schemas.openxmlformats.org/spreadsheetml/2006/main">
  <numFmts count="7">
    <numFmt numFmtId="164" formatCode="General"/>
    <numFmt numFmtId="165" formatCode="General"/>
    <numFmt numFmtId="166" formatCode="dd/mm/yyyy"/>
    <numFmt numFmtId="167" formatCode="hh:mm"/>
    <numFmt numFmtId="168" formatCode="&quot;$ &quot;#,##0;&quot;-$ &quot;#,##0;\-"/>
    <numFmt numFmtId="169" formatCode="0"/>
    <numFmt numFmtId="170" formatCode="&quot;$ &quot;#,##0"/>
  </numFmts>
  <fonts count="16">
    <font>
      <sz val="11"/>
      <color theme="1"/>
      <name val="Calibri"/>
      <family val="2"/>
      <charset val="1"/>
    </font>
    <font>
      <sz val="10"/>
      <name val="Arial"/>
      <family val="0"/>
    </font>
    <font>
      <sz val="10"/>
      <name val="Arial"/>
      <family val="0"/>
    </font>
    <font>
      <sz val="10"/>
      <name val="Arial"/>
      <family val="0"/>
    </font>
    <font>
      <b val="true"/>
      <sz val="13"/>
      <color rgb="FF1F3864"/>
      <name val="Arial"/>
      <family val="0"/>
      <charset val="1"/>
    </font>
    <font>
      <sz val="11"/>
      <color rgb="FF000000"/>
      <name val="Arial"/>
      <family val="0"/>
      <charset val="1"/>
    </font>
    <font>
      <b val="true"/>
      <sz val="14"/>
      <color rgb="FF1F3864"/>
      <name val="Arial"/>
      <family val="0"/>
      <charset val="1"/>
    </font>
    <font>
      <b val="true"/>
      <sz val="11"/>
      <color rgb="FF1F3864"/>
      <name val="Arial"/>
      <family val="0"/>
      <charset val="1"/>
    </font>
    <font>
      <b val="true"/>
      <sz val="11"/>
      <color rgb="FFFFFFFF"/>
      <name val="Arial"/>
      <family val="0"/>
      <charset val="1"/>
    </font>
    <font>
      <sz val="10"/>
      <name val="Arial"/>
      <family val="0"/>
      <charset val="1"/>
    </font>
    <font>
      <sz val="10"/>
      <name val="Arial"/>
      <family val="2"/>
    </font>
    <font>
      <b val="true"/>
      <sz val="11"/>
      <color rgb="FF0000FF"/>
      <name val="Arial"/>
      <family val="0"/>
      <charset val="1"/>
    </font>
    <font>
      <sz val="11"/>
      <name val="Arial"/>
      <family val="0"/>
      <charset val="1"/>
    </font>
    <font>
      <b val="true"/>
      <sz val="11"/>
      <name val="Arial"/>
      <family val="0"/>
      <charset val="1"/>
    </font>
    <font>
      <i val="true"/>
      <sz val="11"/>
      <color rgb="FF595959"/>
      <name val="Arial"/>
      <family val="0"/>
      <charset val="1"/>
    </font>
    <font>
      <sz val="11"/>
      <color rgb="FF0000FF"/>
      <name val="Arial"/>
      <family val="0"/>
      <charset val="1"/>
    </font>
  </fonts>
  <fills count="7">
    <fill>
      <patternFill patternType="none"/>
    </fill>
    <fill>
      <patternFill patternType="gray125"/>
    </fill>
    <fill>
      <patternFill patternType="solid">
        <fgColor rgb="FFDDEBF7"/>
        <bgColor rgb="FFE2EFDA"/>
      </patternFill>
    </fill>
    <fill>
      <patternFill patternType="solid">
        <fgColor rgb="FFFFF2CC"/>
        <bgColor rgb="FFE2EFDA"/>
      </patternFill>
    </fill>
    <fill>
      <patternFill patternType="solid">
        <fgColor rgb="FFE2EFDA"/>
        <bgColor rgb="FFDDEBF7"/>
      </patternFill>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5" fillId="2" borderId="0" xfId="0" applyFont="true" applyBorder="false" applyAlignment="true" applyProtection="false">
      <alignment horizontal="general" vertical="center" textRotation="0" wrapText="true" indent="0" shrinkToFit="false"/>
      <protection locked="true" hidden="false"/>
    </xf>
    <xf numFmtId="164" fontId="5" fillId="3" borderId="0" xfId="0" applyFont="true" applyBorder="false" applyAlignment="true" applyProtection="false">
      <alignment horizontal="general" vertical="center" textRotation="0" wrapText="true" indent="0" shrinkToFit="false"/>
      <protection locked="true" hidden="false"/>
    </xf>
    <xf numFmtId="164" fontId="5" fillId="4"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5" fontId="9" fillId="0" borderId="1" xfId="0" applyFont="true" applyBorder="true" applyAlignment="true" applyProtection="false">
      <alignment horizontal="center" vertical="top" textRotation="0" wrapText="true" indent="0" shrinkToFit="false"/>
      <protection locked="true" hidden="false"/>
    </xf>
    <xf numFmtId="166" fontId="9" fillId="0" borderId="1" xfId="0" applyFont="true" applyBorder="true" applyAlignment="true" applyProtection="false">
      <alignment horizontal="center" vertical="top" textRotation="0" wrapText="true" indent="0" shrinkToFit="false"/>
      <protection locked="true" hidden="false"/>
    </xf>
    <xf numFmtId="167" fontId="9"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8" fontId="9" fillId="0" borderId="1" xfId="0" applyFont="true" applyBorder="true" applyAlignment="true" applyProtection="false">
      <alignment horizontal="center" vertical="top" textRotation="0" wrapText="true" indent="0" shrinkToFit="false"/>
      <protection locked="true" hidden="false"/>
    </xf>
    <xf numFmtId="169" fontId="9" fillId="0" borderId="1" xfId="0" applyFont="true" applyBorder="true" applyAlignment="true" applyProtection="false">
      <alignment horizontal="center" vertical="top" textRotation="0" wrapText="true" indent="0" shrinkToFit="false"/>
      <protection locked="true" hidden="false"/>
    </xf>
    <xf numFmtId="164" fontId="8" fillId="5" borderId="0" xfId="0" applyFont="true" applyBorder="false" applyAlignment="true" applyProtection="false">
      <alignment horizontal="center" vertical="center" textRotation="0" wrapText="tru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4" fontId="11" fillId="6"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9" fontId="13" fillId="0" borderId="1" xfId="0" applyFont="true" applyBorder="true" applyAlignment="true" applyProtection="false">
      <alignment horizontal="right" vertical="bottom" textRotation="0" wrapText="false" indent="0" shrinkToFit="false"/>
      <protection locked="true" hidden="false"/>
    </xf>
    <xf numFmtId="169" fontId="13" fillId="0" borderId="1" xfId="0" applyFont="true" applyBorder="true" applyAlignment="false" applyProtection="false">
      <alignment horizontal="general" vertical="bottom" textRotation="0" wrapText="false" indent="0" shrinkToFit="false"/>
      <protection locked="true" hidden="false"/>
    </xf>
    <xf numFmtId="170" fontId="13" fillId="0" borderId="1" xfId="0" applyFont="true" applyBorder="true" applyAlignment="false" applyProtection="false">
      <alignment horizontal="general" vertical="bottom" textRotation="0" wrapText="false" indent="0" shrinkToFit="false"/>
      <protection locked="true" hidden="false"/>
    </xf>
    <xf numFmtId="170" fontId="13" fillId="0" borderId="1" xfId="0" applyFont="true" applyBorder="true" applyAlignment="true" applyProtection="false">
      <alignment horizontal="right"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8CBAD"/>
          <bgColor rgb="FF000000"/>
        </patternFill>
      </fill>
    </dxf>
    <dxf>
      <fill>
        <patternFill>
          <bgColor rgb="FFF8CBAD"/>
        </patternFill>
      </fill>
    </dxf>
    <dxf>
      <fill>
        <patternFill>
          <bgColor rgb="FFFFE699"/>
        </patternFill>
      </fill>
    </dxf>
    <dxf>
      <fill>
        <patternFill>
          <bgColor rgb="FFF4B084"/>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2EFDA"/>
      <rgbColor rgb="FFC6EFCE"/>
      <rgbColor rgb="FFFFE699"/>
      <rgbColor rgb="FF99CCFF"/>
      <rgbColor rgb="FFF4B084"/>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6.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26.85" hidden="false" customHeight="false" outlineLevel="0" collapsed="false">
      <c r="A4" s="3" t="s">
        <v>2</v>
      </c>
    </row>
    <row r="5" customFormat="false" ht="26.85" hidden="false" customHeight="false" outlineLevel="0" collapsed="false">
      <c r="A5" s="4" t="s">
        <v>3</v>
      </c>
    </row>
    <row r="6" customFormat="false" ht="15" hidden="false" customHeight="false" outlineLevel="0" collapsed="false">
      <c r="A6" s="5" t="s">
        <v>4</v>
      </c>
    </row>
    <row r="7" customFormat="false" ht="15" hidden="false" customHeight="false" outlineLevel="0" collapsed="false">
      <c r="A7" s="2" t="s">
        <v>5</v>
      </c>
    </row>
    <row r="8" customFormat="false" ht="26.85" hidden="false" customHeight="false" outlineLevel="0" collapsed="false">
      <c r="A8" s="2" t="s">
        <v>6</v>
      </c>
    </row>
    <row r="9" customFormat="false" ht="26.85" hidden="false" customHeight="false" outlineLevel="0" collapsed="false">
      <c r="A9" s="2" t="s">
        <v>7</v>
      </c>
    </row>
    <row r="10" customFormat="false" ht="15" hidden="false" customHeight="false" outlineLevel="0" collapsed="false">
      <c r="A10" s="2" t="s">
        <v>8</v>
      </c>
    </row>
    <row r="11" customFormat="false" ht="26.85" hidden="false" customHeight="false" outlineLevel="0" collapsed="false">
      <c r="A11" s="2" t="s">
        <v>9</v>
      </c>
    </row>
    <row r="12" customFormat="false" ht="15" hidden="false" customHeight="false" outlineLevel="0" collapsed="false">
      <c r="A12" s="2"/>
    </row>
    <row r="13" customFormat="false" ht="16.15" hidden="false" customHeight="false" outlineLevel="0" collapsed="false">
      <c r="A13" s="1" t="s">
        <v>10</v>
      </c>
    </row>
    <row r="14" customFormat="false" ht="26.85" hidden="false" customHeight="false" outlineLevel="0" collapsed="false">
      <c r="A14" s="2" t="s">
        <v>11</v>
      </c>
    </row>
    <row r="15" customFormat="false" ht="26.85" hidden="false" customHeight="false" outlineLevel="0" collapsed="false">
      <c r="A15" s="2" t="s">
        <v>12</v>
      </c>
    </row>
    <row r="16" customFormat="false" ht="26.85" hidden="false" customHeight="false" outlineLevel="0" collapsed="false">
      <c r="A16" s="2"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503"/>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3"/>
    <col collapsed="false" customWidth="true" hidden="false" outlineLevel="0" max="3" min="3" style="0" width="8"/>
    <col collapsed="false" customWidth="true" hidden="false" outlineLevel="0" max="4" min="4" style="0" width="18"/>
    <col collapsed="false" customWidth="true" hidden="false" outlineLevel="0" max="5" min="5" style="0" width="8"/>
    <col collapsed="false" customWidth="true" hidden="false" outlineLevel="0" max="6" min="6" style="0" width="26"/>
    <col collapsed="false" customWidth="true" hidden="false" outlineLevel="0" max="7" min="7" style="0" width="20"/>
    <col collapsed="false" customWidth="true" hidden="false" outlineLevel="0" max="8" min="8" style="0" width="28"/>
    <col collapsed="false" customWidth="true" hidden="false" outlineLevel="0" max="9" min="9" style="0" width="60"/>
    <col collapsed="false" customWidth="true" hidden="false" outlineLevel="0" max="10" min="10" style="0" width="11"/>
    <col collapsed="false" customWidth="true" hidden="false" outlineLevel="0" max="11" min="11" style="0" width="13"/>
    <col collapsed="false" customWidth="true" hidden="false" outlineLevel="0" max="12" min="12" style="0" width="14"/>
    <col collapsed="false" customWidth="true" hidden="false" outlineLevel="0" max="13" min="13" style="0" width="12"/>
    <col collapsed="false" customWidth="true" hidden="false" outlineLevel="0" max="14" min="14" style="0" width="13"/>
    <col collapsed="false" customWidth="true" hidden="false" outlineLevel="0" max="16" min="15" style="0" width="14"/>
    <col collapsed="false" customWidth="true" hidden="false" outlineLevel="0" max="17" min="17" style="0" width="12"/>
    <col collapsed="false" customWidth="true" hidden="false" outlineLevel="0" max="18" min="18" style="0" width="32"/>
    <col collapsed="false" customWidth="true" hidden="false" outlineLevel="0" max="19" min="19" style="0" width="22"/>
    <col collapsed="false" customWidth="true" hidden="false" outlineLevel="0" max="20" min="20" style="0" width="10"/>
  </cols>
  <sheetData>
    <row r="1" customFormat="false" ht="17.35" hidden="false" customHeight="false" outlineLevel="0" collapsed="false">
      <c r="A1" s="6" t="s">
        <v>14</v>
      </c>
    </row>
    <row r="2" customFormat="false" ht="15" hidden="false" customHeight="true" outlineLevel="0" collapsed="false">
      <c r="A2" s="7" t="s">
        <v>15</v>
      </c>
      <c r="B2" s="7"/>
      <c r="C2" s="7"/>
      <c r="D2" s="7"/>
      <c r="E2" s="7"/>
      <c r="F2" s="7"/>
      <c r="G2" s="7"/>
      <c r="H2" s="7"/>
      <c r="I2" s="7"/>
      <c r="J2" s="8" t="s">
        <v>16</v>
      </c>
      <c r="K2" s="8"/>
      <c r="L2" s="8"/>
      <c r="M2" s="8"/>
      <c r="N2" s="8"/>
      <c r="O2" s="8"/>
      <c r="P2" s="8"/>
      <c r="Q2" s="8"/>
      <c r="R2" s="8"/>
      <c r="S2" s="9" t="s">
        <v>17</v>
      </c>
      <c r="T2" s="9"/>
    </row>
    <row r="3" customFormat="false" ht="45" hidden="false" customHeight="true" outlineLevel="0" collapsed="false">
      <c r="A3" s="10" t="s">
        <v>18</v>
      </c>
      <c r="B3" s="10" t="s">
        <v>19</v>
      </c>
      <c r="C3" s="10" t="s">
        <v>20</v>
      </c>
      <c r="D3" s="10" t="s">
        <v>21</v>
      </c>
      <c r="E3" s="10" t="s">
        <v>22</v>
      </c>
      <c r="F3" s="10" t="s">
        <v>23</v>
      </c>
      <c r="G3" s="10" t="s">
        <v>24</v>
      </c>
      <c r="H3" s="10" t="s">
        <v>25</v>
      </c>
      <c r="I3" s="10" t="s">
        <v>26</v>
      </c>
      <c r="J3" s="10" t="s">
        <v>27</v>
      </c>
      <c r="K3" s="10" t="s">
        <v>28</v>
      </c>
      <c r="L3" s="10" t="s">
        <v>29</v>
      </c>
      <c r="M3" s="10" t="s">
        <v>30</v>
      </c>
      <c r="N3" s="10" t="s">
        <v>31</v>
      </c>
      <c r="O3" s="10" t="s">
        <v>32</v>
      </c>
      <c r="P3" s="10" t="s">
        <v>33</v>
      </c>
      <c r="Q3" s="10" t="s">
        <v>34</v>
      </c>
      <c r="R3" s="10" t="s">
        <v>35</v>
      </c>
      <c r="S3" s="10" t="s">
        <v>36</v>
      </c>
      <c r="T3" s="10" t="s">
        <v>37</v>
      </c>
    </row>
    <row r="4" customFormat="false" ht="120" hidden="false" customHeight="true" outlineLevel="0" collapsed="false">
      <c r="A4" s="11" t="n">
        <f aca="false">IF(B4="","",ROW()-3)</f>
        <v>1</v>
      </c>
      <c r="B4" s="12" t="n">
        <v>46308</v>
      </c>
      <c r="C4" s="13" t="n">
        <v>0.534027777777778</v>
      </c>
      <c r="D4" s="14" t="s">
        <v>38</v>
      </c>
      <c r="E4" s="11" t="n">
        <v>92</v>
      </c>
      <c r="F4" s="15" t="s">
        <v>39</v>
      </c>
      <c r="G4" s="14" t="s">
        <v>40</v>
      </c>
      <c r="H4" s="15" t="s">
        <v>41</v>
      </c>
      <c r="I4" s="15" t="s">
        <v>42</v>
      </c>
      <c r="J4" s="16"/>
      <c r="K4" s="12"/>
      <c r="L4" s="12"/>
      <c r="M4" s="16" t="s">
        <v>43</v>
      </c>
      <c r="N4" s="12"/>
      <c r="O4" s="17"/>
      <c r="P4" s="16"/>
      <c r="Q4" s="12"/>
      <c r="R4" s="15"/>
      <c r="S4" s="16" t="str">
        <f aca="false">IF(B4="","",IF(M4="Desestimada","Cerrado - desestimada",IF(AND(M4="Aplicada",OR(P4="Pagada",P4="Incluida en expensas")),"Cerrado - multa cobrada",IF(M4="Aplicada","Multa aplicada - impaga",IF(L4&lt;&gt;"","Descargo respondido - a resolver",IF(J4="Sí","Esperando respuesta descargo","Pendiente enviar descargo"))))))</f>
        <v>Pendiente enviar descargo</v>
      </c>
      <c r="T4" s="18" t="n">
        <f aca="true">IF(B4="","",TODAY()-B4)</f>
        <v>1</v>
      </c>
    </row>
    <row r="5" customFormat="false" ht="15" hidden="false" customHeight="false" outlineLevel="0" collapsed="false">
      <c r="A5" s="11" t="str">
        <f aca="false">IF(B5="","",ROW()-3)</f>
        <v/>
      </c>
      <c r="B5" s="12"/>
      <c r="C5" s="13"/>
      <c r="D5" s="14"/>
      <c r="E5" s="11"/>
      <c r="F5" s="15"/>
      <c r="G5" s="14"/>
      <c r="H5" s="15"/>
      <c r="I5" s="15"/>
      <c r="J5" s="16"/>
      <c r="K5" s="12"/>
      <c r="L5" s="12"/>
      <c r="M5" s="16"/>
      <c r="N5" s="12"/>
      <c r="O5" s="17"/>
      <c r="P5" s="16"/>
      <c r="Q5" s="12"/>
      <c r="R5" s="15"/>
      <c r="S5" s="16" t="str">
        <f aca="false">IF(B5="","",IF(M5="Desestimada","Cerrado - desestimada",IF(AND(M5="Aplicada",OR(P5="Pagada",P5="Incluida en expensas")),"Cerrado - multa cobrada",IF(M5="Aplicada","Multa aplicada - impaga",IF(L5&lt;&gt;"","Descargo respondido - a resolver",IF(J5="Sí","Esperando respuesta descargo","Pendiente enviar descargo"))))))</f>
        <v/>
      </c>
      <c r="T5" s="18" t="str">
        <f aca="true">IF(B5="","",TODAY()-B5)</f>
        <v/>
      </c>
    </row>
    <row r="6" customFormat="false" ht="15" hidden="false" customHeight="false" outlineLevel="0" collapsed="false">
      <c r="A6" s="11" t="str">
        <f aca="false">IF(B6="","",ROW()-3)</f>
        <v/>
      </c>
      <c r="B6" s="12"/>
      <c r="C6" s="13"/>
      <c r="D6" s="14"/>
      <c r="E6" s="11"/>
      <c r="F6" s="15"/>
      <c r="G6" s="14"/>
      <c r="H6" s="15"/>
      <c r="I6" s="15"/>
      <c r="J6" s="16"/>
      <c r="K6" s="12"/>
      <c r="L6" s="12"/>
      <c r="M6" s="16"/>
      <c r="N6" s="12"/>
      <c r="O6" s="17"/>
      <c r="P6" s="16"/>
      <c r="Q6" s="12"/>
      <c r="R6" s="15"/>
      <c r="S6" s="16" t="str">
        <f aca="false">IF(B6="","",IF(M6="Desestimada","Cerrado - desestimada",IF(AND(M6="Aplicada",OR(P6="Pagada",P6="Incluida en expensas")),"Cerrado - multa cobrada",IF(M6="Aplicada","Multa aplicada - impaga",IF(L6&lt;&gt;"","Descargo respondido - a resolver",IF(J6="Sí","Esperando respuesta descargo","Pendiente enviar descargo"))))))</f>
        <v/>
      </c>
      <c r="T6" s="18" t="str">
        <f aca="true">IF(B6="","",TODAY()-B6)</f>
        <v/>
      </c>
    </row>
    <row r="7" customFormat="false" ht="15" hidden="false" customHeight="false" outlineLevel="0" collapsed="false">
      <c r="A7" s="11" t="str">
        <f aca="false">IF(B7="","",ROW()-3)</f>
        <v/>
      </c>
      <c r="B7" s="12"/>
      <c r="C7" s="13"/>
      <c r="D7" s="14"/>
      <c r="E7" s="11"/>
      <c r="F7" s="15"/>
      <c r="G7" s="14"/>
      <c r="H7" s="15"/>
      <c r="I7" s="15"/>
      <c r="J7" s="16"/>
      <c r="K7" s="12"/>
      <c r="L7" s="12"/>
      <c r="M7" s="16"/>
      <c r="N7" s="12"/>
      <c r="O7" s="17"/>
      <c r="P7" s="16"/>
      <c r="Q7" s="12"/>
      <c r="R7" s="15"/>
      <c r="S7" s="16" t="str">
        <f aca="false">IF(B7="","",IF(M7="Desestimada","Cerrado - desestimada",IF(AND(M7="Aplicada",OR(P7="Pagada",P7="Incluida en expensas")),"Cerrado - multa cobrada",IF(M7="Aplicada","Multa aplicada - impaga",IF(L7&lt;&gt;"","Descargo respondido - a resolver",IF(J7="Sí","Esperando respuesta descargo","Pendiente enviar descargo"))))))</f>
        <v/>
      </c>
      <c r="T7" s="18" t="str">
        <f aca="true">IF(B7="","",TODAY()-B7)</f>
        <v/>
      </c>
    </row>
    <row r="8" customFormat="false" ht="15" hidden="false" customHeight="false" outlineLevel="0" collapsed="false">
      <c r="A8" s="11" t="str">
        <f aca="false">IF(B8="","",ROW()-3)</f>
        <v/>
      </c>
      <c r="B8" s="12"/>
      <c r="C8" s="13"/>
      <c r="D8" s="14"/>
      <c r="E8" s="11"/>
      <c r="F8" s="15"/>
      <c r="G8" s="14"/>
      <c r="H8" s="15"/>
      <c r="I8" s="15"/>
      <c r="J8" s="16"/>
      <c r="K8" s="12"/>
      <c r="L8" s="12"/>
      <c r="M8" s="16"/>
      <c r="N8" s="12"/>
      <c r="O8" s="17"/>
      <c r="P8" s="16"/>
      <c r="Q8" s="12"/>
      <c r="R8" s="15"/>
      <c r="S8" s="16" t="str">
        <f aca="false">IF(B8="","",IF(M8="Desestimada","Cerrado - desestimada",IF(AND(M8="Aplicada",OR(P8="Pagada",P8="Incluida en expensas")),"Cerrado - multa cobrada",IF(M8="Aplicada","Multa aplicada - impaga",IF(L8&lt;&gt;"","Descargo respondido - a resolver",IF(J8="Sí","Esperando respuesta descargo","Pendiente enviar descargo"))))))</f>
        <v/>
      </c>
      <c r="T8" s="18" t="str">
        <f aca="true">IF(B8="","",TODAY()-B8)</f>
        <v/>
      </c>
    </row>
    <row r="9" customFormat="false" ht="15" hidden="false" customHeight="false" outlineLevel="0" collapsed="false">
      <c r="A9" s="11" t="str">
        <f aca="false">IF(B9="","",ROW()-3)</f>
        <v/>
      </c>
      <c r="B9" s="12"/>
      <c r="C9" s="13"/>
      <c r="D9" s="14"/>
      <c r="E9" s="11"/>
      <c r="F9" s="15"/>
      <c r="G9" s="14"/>
      <c r="H9" s="15"/>
      <c r="I9" s="15"/>
      <c r="J9" s="16"/>
      <c r="K9" s="12"/>
      <c r="L9" s="12"/>
      <c r="M9" s="16"/>
      <c r="N9" s="12"/>
      <c r="O9" s="17"/>
      <c r="P9" s="16"/>
      <c r="Q9" s="12"/>
      <c r="R9" s="15"/>
      <c r="S9" s="16" t="str">
        <f aca="false">IF(B9="","",IF(M9="Desestimada","Cerrado - desestimada",IF(AND(M9="Aplicada",OR(P9="Pagada",P9="Incluida en expensas")),"Cerrado - multa cobrada",IF(M9="Aplicada","Multa aplicada - impaga",IF(L9&lt;&gt;"","Descargo respondido - a resolver",IF(J9="Sí","Esperando respuesta descargo","Pendiente enviar descargo"))))))</f>
        <v/>
      </c>
      <c r="T9" s="18" t="str">
        <f aca="true">IF(B9="","",TODAY()-B9)</f>
        <v/>
      </c>
    </row>
    <row r="10" customFormat="false" ht="15" hidden="false" customHeight="false" outlineLevel="0" collapsed="false">
      <c r="A10" s="11" t="str">
        <f aca="false">IF(B10="","",ROW()-3)</f>
        <v/>
      </c>
      <c r="B10" s="12"/>
      <c r="C10" s="13"/>
      <c r="D10" s="14"/>
      <c r="E10" s="11"/>
      <c r="F10" s="15"/>
      <c r="G10" s="14"/>
      <c r="H10" s="15"/>
      <c r="I10" s="15"/>
      <c r="J10" s="16"/>
      <c r="K10" s="12"/>
      <c r="L10" s="12"/>
      <c r="M10" s="16"/>
      <c r="N10" s="12"/>
      <c r="O10" s="17"/>
      <c r="P10" s="16"/>
      <c r="Q10" s="12"/>
      <c r="R10" s="15"/>
      <c r="S10" s="16" t="str">
        <f aca="false">IF(B10="","",IF(M10="Desestimada","Cerrado - desestimada",IF(AND(M10="Aplicada",OR(P10="Pagada",P10="Incluida en expensas")),"Cerrado - multa cobrada",IF(M10="Aplicada","Multa aplicada - impaga",IF(L10&lt;&gt;"","Descargo respondido - a resolver",IF(J10="Sí","Esperando respuesta descargo","Pendiente enviar descargo"))))))</f>
        <v/>
      </c>
      <c r="T10" s="18" t="str">
        <f aca="true">IF(B10="","",TODAY()-B10)</f>
        <v/>
      </c>
    </row>
    <row r="11" customFormat="false" ht="15" hidden="false" customHeight="false" outlineLevel="0" collapsed="false">
      <c r="A11" s="11" t="str">
        <f aca="false">IF(B11="","",ROW()-3)</f>
        <v/>
      </c>
      <c r="B11" s="12"/>
      <c r="C11" s="13"/>
      <c r="D11" s="14"/>
      <c r="E11" s="11"/>
      <c r="F11" s="15"/>
      <c r="G11" s="14"/>
      <c r="H11" s="15"/>
      <c r="I11" s="15"/>
      <c r="J11" s="16"/>
      <c r="K11" s="12"/>
      <c r="L11" s="12"/>
      <c r="M11" s="16"/>
      <c r="N11" s="12"/>
      <c r="O11" s="17"/>
      <c r="P11" s="16"/>
      <c r="Q11" s="12"/>
      <c r="R11" s="15"/>
      <c r="S11" s="16" t="str">
        <f aca="false">IF(B11="","",IF(M11="Desestimada","Cerrado - desestimada",IF(AND(M11="Aplicada",OR(P11="Pagada",P11="Incluida en expensas")),"Cerrado - multa cobrada",IF(M11="Aplicada","Multa aplicada - impaga",IF(L11&lt;&gt;"","Descargo respondido - a resolver",IF(J11="Sí","Esperando respuesta descargo","Pendiente enviar descargo"))))))</f>
        <v/>
      </c>
      <c r="T11" s="18" t="str">
        <f aca="true">IF(B11="","",TODAY()-B11)</f>
        <v/>
      </c>
    </row>
    <row r="12" customFormat="false" ht="15" hidden="false" customHeight="false" outlineLevel="0" collapsed="false">
      <c r="A12" s="11" t="str">
        <f aca="false">IF(B12="","",ROW()-3)</f>
        <v/>
      </c>
      <c r="B12" s="12"/>
      <c r="C12" s="13"/>
      <c r="D12" s="14"/>
      <c r="E12" s="11"/>
      <c r="F12" s="15"/>
      <c r="G12" s="14"/>
      <c r="H12" s="15"/>
      <c r="I12" s="15"/>
      <c r="J12" s="16"/>
      <c r="K12" s="12"/>
      <c r="L12" s="12"/>
      <c r="M12" s="16"/>
      <c r="N12" s="12"/>
      <c r="O12" s="17"/>
      <c r="P12" s="16"/>
      <c r="Q12" s="12"/>
      <c r="R12" s="15"/>
      <c r="S12" s="16" t="str">
        <f aca="false">IF(B12="","",IF(M12="Desestimada","Cerrado - desestimada",IF(AND(M12="Aplicada",OR(P12="Pagada",P12="Incluida en expensas")),"Cerrado - multa cobrada",IF(M12="Aplicada","Multa aplicada - impaga",IF(L12&lt;&gt;"","Descargo respondido - a resolver",IF(J12="Sí","Esperando respuesta descargo","Pendiente enviar descargo"))))))</f>
        <v/>
      </c>
      <c r="T12" s="18" t="str">
        <f aca="true">IF(B12="","",TODAY()-B12)</f>
        <v/>
      </c>
    </row>
    <row r="13" customFormat="false" ht="15" hidden="false" customHeight="false" outlineLevel="0" collapsed="false">
      <c r="A13" s="11" t="str">
        <f aca="false">IF(B13="","",ROW()-3)</f>
        <v/>
      </c>
      <c r="B13" s="12"/>
      <c r="C13" s="13"/>
      <c r="D13" s="14"/>
      <c r="E13" s="11"/>
      <c r="F13" s="15"/>
      <c r="G13" s="14"/>
      <c r="H13" s="15"/>
      <c r="I13" s="15"/>
      <c r="J13" s="16"/>
      <c r="K13" s="12"/>
      <c r="L13" s="12"/>
      <c r="M13" s="16"/>
      <c r="N13" s="12"/>
      <c r="O13" s="17"/>
      <c r="P13" s="16"/>
      <c r="Q13" s="12"/>
      <c r="R13" s="15"/>
      <c r="S13" s="16" t="str">
        <f aca="false">IF(B13="","",IF(M13="Desestimada","Cerrado - desestimada",IF(AND(M13="Aplicada",OR(P13="Pagada",P13="Incluida en expensas")),"Cerrado - multa cobrada",IF(M13="Aplicada","Multa aplicada - impaga",IF(L13&lt;&gt;"","Descargo respondido - a resolver",IF(J13="Sí","Esperando respuesta descargo","Pendiente enviar descargo"))))))</f>
        <v/>
      </c>
      <c r="T13" s="18" t="str">
        <f aca="true">IF(B13="","",TODAY()-B13)</f>
        <v/>
      </c>
    </row>
    <row r="14" customFormat="false" ht="15" hidden="false" customHeight="false" outlineLevel="0" collapsed="false">
      <c r="A14" s="11" t="str">
        <f aca="false">IF(B14="","",ROW()-3)</f>
        <v/>
      </c>
      <c r="B14" s="12"/>
      <c r="C14" s="13"/>
      <c r="D14" s="14"/>
      <c r="E14" s="11"/>
      <c r="F14" s="15"/>
      <c r="G14" s="14"/>
      <c r="H14" s="15"/>
      <c r="I14" s="15"/>
      <c r="J14" s="16"/>
      <c r="K14" s="12"/>
      <c r="L14" s="12"/>
      <c r="M14" s="16"/>
      <c r="N14" s="12"/>
      <c r="O14" s="17"/>
      <c r="P14" s="16"/>
      <c r="Q14" s="12"/>
      <c r="R14" s="15"/>
      <c r="S14" s="16" t="str">
        <f aca="false">IF(B14="","",IF(M14="Desestimada","Cerrado - desestimada",IF(AND(M14="Aplicada",OR(P14="Pagada",P14="Incluida en expensas")),"Cerrado - multa cobrada",IF(M14="Aplicada","Multa aplicada - impaga",IF(L14&lt;&gt;"","Descargo respondido - a resolver",IF(J14="Sí","Esperando respuesta descargo","Pendiente enviar descargo"))))))</f>
        <v/>
      </c>
      <c r="T14" s="18" t="str">
        <f aca="true">IF(B14="","",TODAY()-B14)</f>
        <v/>
      </c>
    </row>
    <row r="15" customFormat="false" ht="15" hidden="false" customHeight="false" outlineLevel="0" collapsed="false">
      <c r="A15" s="11" t="str">
        <f aca="false">IF(B15="","",ROW()-3)</f>
        <v/>
      </c>
      <c r="B15" s="12"/>
      <c r="C15" s="13"/>
      <c r="D15" s="14"/>
      <c r="E15" s="11"/>
      <c r="F15" s="15"/>
      <c r="G15" s="14"/>
      <c r="H15" s="15"/>
      <c r="I15" s="15"/>
      <c r="J15" s="16"/>
      <c r="K15" s="12"/>
      <c r="L15" s="12"/>
      <c r="M15" s="16"/>
      <c r="N15" s="12"/>
      <c r="O15" s="17"/>
      <c r="P15" s="16"/>
      <c r="Q15" s="12"/>
      <c r="R15" s="15"/>
      <c r="S15" s="16" t="str">
        <f aca="false">IF(B15="","",IF(M15="Desestimada","Cerrado - desestimada",IF(AND(M15="Aplicada",OR(P15="Pagada",P15="Incluida en expensas")),"Cerrado - multa cobrada",IF(M15="Aplicada","Multa aplicada - impaga",IF(L15&lt;&gt;"","Descargo respondido - a resolver",IF(J15="Sí","Esperando respuesta descargo","Pendiente enviar descargo"))))))</f>
        <v/>
      </c>
      <c r="T15" s="18" t="str">
        <f aca="true">IF(B15="","",TODAY()-B15)</f>
        <v/>
      </c>
    </row>
    <row r="16" customFormat="false" ht="15" hidden="false" customHeight="false" outlineLevel="0" collapsed="false">
      <c r="A16" s="11" t="str">
        <f aca="false">IF(B16="","",ROW()-3)</f>
        <v/>
      </c>
      <c r="B16" s="12"/>
      <c r="C16" s="13"/>
      <c r="D16" s="14"/>
      <c r="E16" s="11"/>
      <c r="F16" s="15"/>
      <c r="G16" s="14"/>
      <c r="H16" s="15"/>
      <c r="I16" s="15"/>
      <c r="J16" s="16"/>
      <c r="K16" s="12"/>
      <c r="L16" s="12"/>
      <c r="M16" s="16"/>
      <c r="N16" s="12"/>
      <c r="O16" s="17"/>
      <c r="P16" s="16"/>
      <c r="Q16" s="12"/>
      <c r="R16" s="15"/>
      <c r="S16" s="16" t="str">
        <f aca="false">IF(B16="","",IF(M16="Desestimada","Cerrado - desestimada",IF(AND(M16="Aplicada",OR(P16="Pagada",P16="Incluida en expensas")),"Cerrado - multa cobrada",IF(M16="Aplicada","Multa aplicada - impaga",IF(L16&lt;&gt;"","Descargo respondido - a resolver",IF(J16="Sí","Esperando respuesta descargo","Pendiente enviar descargo"))))))</f>
        <v/>
      </c>
      <c r="T16" s="18" t="str">
        <f aca="true">IF(B16="","",TODAY()-B16)</f>
        <v/>
      </c>
    </row>
    <row r="17" customFormat="false" ht="15" hidden="false" customHeight="false" outlineLevel="0" collapsed="false">
      <c r="A17" s="11" t="str">
        <f aca="false">IF(B17="","",ROW()-3)</f>
        <v/>
      </c>
      <c r="B17" s="12"/>
      <c r="C17" s="13"/>
      <c r="D17" s="14"/>
      <c r="E17" s="11"/>
      <c r="F17" s="15"/>
      <c r="G17" s="14"/>
      <c r="H17" s="15"/>
      <c r="I17" s="15"/>
      <c r="J17" s="16"/>
      <c r="K17" s="12"/>
      <c r="L17" s="12"/>
      <c r="M17" s="16"/>
      <c r="N17" s="12"/>
      <c r="O17" s="17"/>
      <c r="P17" s="16"/>
      <c r="Q17" s="12"/>
      <c r="R17" s="15"/>
      <c r="S17" s="16" t="str">
        <f aca="false">IF(B17="","",IF(M17="Desestimada","Cerrado - desestimada",IF(AND(M17="Aplicada",OR(P17="Pagada",P17="Incluida en expensas")),"Cerrado - multa cobrada",IF(M17="Aplicada","Multa aplicada - impaga",IF(L17&lt;&gt;"","Descargo respondido - a resolver",IF(J17="Sí","Esperando respuesta descargo","Pendiente enviar descargo"))))))</f>
        <v/>
      </c>
      <c r="T17" s="18" t="str">
        <f aca="true">IF(B17="","",TODAY()-B17)</f>
        <v/>
      </c>
    </row>
    <row r="18" customFormat="false" ht="15" hidden="false" customHeight="false" outlineLevel="0" collapsed="false">
      <c r="A18" s="11" t="str">
        <f aca="false">IF(B18="","",ROW()-3)</f>
        <v/>
      </c>
      <c r="B18" s="12"/>
      <c r="C18" s="13"/>
      <c r="D18" s="14"/>
      <c r="E18" s="11"/>
      <c r="F18" s="15"/>
      <c r="G18" s="14"/>
      <c r="H18" s="15"/>
      <c r="I18" s="15"/>
      <c r="J18" s="16"/>
      <c r="K18" s="12"/>
      <c r="L18" s="12"/>
      <c r="M18" s="16"/>
      <c r="N18" s="12"/>
      <c r="O18" s="17"/>
      <c r="P18" s="16"/>
      <c r="Q18" s="12"/>
      <c r="R18" s="15"/>
      <c r="S18" s="16" t="str">
        <f aca="false">IF(B18="","",IF(M18="Desestimada","Cerrado - desestimada",IF(AND(M18="Aplicada",OR(P18="Pagada",P18="Incluida en expensas")),"Cerrado - multa cobrada",IF(M18="Aplicada","Multa aplicada - impaga",IF(L18&lt;&gt;"","Descargo respondido - a resolver",IF(J18="Sí","Esperando respuesta descargo","Pendiente enviar descargo"))))))</f>
        <v/>
      </c>
      <c r="T18" s="18" t="str">
        <f aca="true">IF(B18="","",TODAY()-B18)</f>
        <v/>
      </c>
    </row>
    <row r="19" customFormat="false" ht="15" hidden="false" customHeight="false" outlineLevel="0" collapsed="false">
      <c r="A19" s="11" t="str">
        <f aca="false">IF(B19="","",ROW()-3)</f>
        <v/>
      </c>
      <c r="B19" s="12"/>
      <c r="C19" s="13"/>
      <c r="D19" s="14"/>
      <c r="E19" s="11"/>
      <c r="F19" s="15"/>
      <c r="G19" s="14"/>
      <c r="H19" s="15"/>
      <c r="I19" s="15"/>
      <c r="J19" s="16"/>
      <c r="K19" s="12"/>
      <c r="L19" s="12"/>
      <c r="M19" s="16"/>
      <c r="N19" s="12"/>
      <c r="O19" s="17"/>
      <c r="P19" s="16"/>
      <c r="Q19" s="12"/>
      <c r="R19" s="15"/>
      <c r="S19" s="16" t="str">
        <f aca="false">IF(B19="","",IF(M19="Desestimada","Cerrado - desestimada",IF(AND(M19="Aplicada",OR(P19="Pagada",P19="Incluida en expensas")),"Cerrado - multa cobrada",IF(M19="Aplicada","Multa aplicada - impaga",IF(L19&lt;&gt;"","Descargo respondido - a resolver",IF(J19="Sí","Esperando respuesta descargo","Pendiente enviar descargo"))))))</f>
        <v/>
      </c>
      <c r="T19" s="18" t="str">
        <f aca="true">IF(B19="","",TODAY()-B19)</f>
        <v/>
      </c>
    </row>
    <row r="20" customFormat="false" ht="15" hidden="false" customHeight="false" outlineLevel="0" collapsed="false">
      <c r="A20" s="11" t="str">
        <f aca="false">IF(B20="","",ROW()-3)</f>
        <v/>
      </c>
      <c r="B20" s="12"/>
      <c r="C20" s="13"/>
      <c r="D20" s="14"/>
      <c r="E20" s="11"/>
      <c r="F20" s="15"/>
      <c r="G20" s="14"/>
      <c r="H20" s="15"/>
      <c r="I20" s="15"/>
      <c r="J20" s="16"/>
      <c r="K20" s="12"/>
      <c r="L20" s="12"/>
      <c r="M20" s="16"/>
      <c r="N20" s="12"/>
      <c r="O20" s="17"/>
      <c r="P20" s="16"/>
      <c r="Q20" s="12"/>
      <c r="R20" s="15"/>
      <c r="S20" s="16" t="str">
        <f aca="false">IF(B20="","",IF(M20="Desestimada","Cerrado - desestimada",IF(AND(M20="Aplicada",OR(P20="Pagada",P20="Incluida en expensas")),"Cerrado - multa cobrada",IF(M20="Aplicada","Multa aplicada - impaga",IF(L20&lt;&gt;"","Descargo respondido - a resolver",IF(J20="Sí","Esperando respuesta descargo","Pendiente enviar descargo"))))))</f>
        <v/>
      </c>
      <c r="T20" s="18" t="str">
        <f aca="true">IF(B20="","",TODAY()-B20)</f>
        <v/>
      </c>
    </row>
    <row r="21" customFormat="false" ht="15" hidden="false" customHeight="false" outlineLevel="0" collapsed="false">
      <c r="A21" s="11" t="str">
        <f aca="false">IF(B21="","",ROW()-3)</f>
        <v/>
      </c>
      <c r="B21" s="12"/>
      <c r="C21" s="13"/>
      <c r="D21" s="14"/>
      <c r="E21" s="11"/>
      <c r="F21" s="15"/>
      <c r="G21" s="14"/>
      <c r="H21" s="15"/>
      <c r="I21" s="15"/>
      <c r="J21" s="16"/>
      <c r="K21" s="12"/>
      <c r="L21" s="12"/>
      <c r="M21" s="16"/>
      <c r="N21" s="12"/>
      <c r="O21" s="17"/>
      <c r="P21" s="16"/>
      <c r="Q21" s="12"/>
      <c r="R21" s="15"/>
      <c r="S21" s="16" t="str">
        <f aca="false">IF(B21="","",IF(M21="Desestimada","Cerrado - desestimada",IF(AND(M21="Aplicada",OR(P21="Pagada",P21="Incluida en expensas")),"Cerrado - multa cobrada",IF(M21="Aplicada","Multa aplicada - impaga",IF(L21&lt;&gt;"","Descargo respondido - a resolver",IF(J21="Sí","Esperando respuesta descargo","Pendiente enviar descargo"))))))</f>
        <v/>
      </c>
      <c r="T21" s="18" t="str">
        <f aca="true">IF(B21="","",TODAY()-B21)</f>
        <v/>
      </c>
    </row>
    <row r="22" customFormat="false" ht="15" hidden="false" customHeight="false" outlineLevel="0" collapsed="false">
      <c r="A22" s="11" t="str">
        <f aca="false">IF(B22="","",ROW()-3)</f>
        <v/>
      </c>
      <c r="B22" s="12"/>
      <c r="C22" s="13"/>
      <c r="D22" s="14"/>
      <c r="E22" s="11"/>
      <c r="F22" s="15"/>
      <c r="G22" s="14"/>
      <c r="H22" s="15"/>
      <c r="I22" s="15"/>
      <c r="J22" s="16"/>
      <c r="K22" s="12"/>
      <c r="L22" s="12"/>
      <c r="M22" s="16"/>
      <c r="N22" s="12"/>
      <c r="O22" s="17"/>
      <c r="P22" s="16"/>
      <c r="Q22" s="12"/>
      <c r="R22" s="15"/>
      <c r="S22" s="16" t="str">
        <f aca="false">IF(B22="","",IF(M22="Desestimada","Cerrado - desestimada",IF(AND(M22="Aplicada",OR(P22="Pagada",P22="Incluida en expensas")),"Cerrado - multa cobrada",IF(M22="Aplicada","Multa aplicada - impaga",IF(L22&lt;&gt;"","Descargo respondido - a resolver",IF(J22="Sí","Esperando respuesta descargo","Pendiente enviar descargo"))))))</f>
        <v/>
      </c>
      <c r="T22" s="18" t="str">
        <f aca="true">IF(B22="","",TODAY()-B22)</f>
        <v/>
      </c>
    </row>
    <row r="23" customFormat="false" ht="15" hidden="false" customHeight="false" outlineLevel="0" collapsed="false">
      <c r="A23" s="11" t="str">
        <f aca="false">IF(B23="","",ROW()-3)</f>
        <v/>
      </c>
      <c r="B23" s="12"/>
      <c r="C23" s="13"/>
      <c r="D23" s="14"/>
      <c r="E23" s="11"/>
      <c r="F23" s="15"/>
      <c r="G23" s="14"/>
      <c r="H23" s="15"/>
      <c r="I23" s="15"/>
      <c r="J23" s="16"/>
      <c r="K23" s="12"/>
      <c r="L23" s="12"/>
      <c r="M23" s="16"/>
      <c r="N23" s="12"/>
      <c r="O23" s="17"/>
      <c r="P23" s="16"/>
      <c r="Q23" s="12"/>
      <c r="R23" s="15"/>
      <c r="S23" s="16" t="str">
        <f aca="false">IF(B23="","",IF(M23="Desestimada","Cerrado - desestimada",IF(AND(M23="Aplicada",OR(P23="Pagada",P23="Incluida en expensas")),"Cerrado - multa cobrada",IF(M23="Aplicada","Multa aplicada - impaga",IF(L23&lt;&gt;"","Descargo respondido - a resolver",IF(J23="Sí","Esperando respuesta descargo","Pendiente enviar descargo"))))))</f>
        <v/>
      </c>
      <c r="T23" s="18" t="str">
        <f aca="true">IF(B23="","",TODAY()-B23)</f>
        <v/>
      </c>
    </row>
    <row r="24" customFormat="false" ht="15" hidden="false" customHeight="false" outlineLevel="0" collapsed="false">
      <c r="A24" s="11" t="str">
        <f aca="false">IF(B24="","",ROW()-3)</f>
        <v/>
      </c>
      <c r="B24" s="12"/>
      <c r="C24" s="13"/>
      <c r="D24" s="14"/>
      <c r="E24" s="11"/>
      <c r="F24" s="15"/>
      <c r="G24" s="14"/>
      <c r="H24" s="15"/>
      <c r="I24" s="15"/>
      <c r="J24" s="16"/>
      <c r="K24" s="12"/>
      <c r="L24" s="12"/>
      <c r="M24" s="16"/>
      <c r="N24" s="12"/>
      <c r="O24" s="17"/>
      <c r="P24" s="16"/>
      <c r="Q24" s="12"/>
      <c r="R24" s="15"/>
      <c r="S24" s="16" t="str">
        <f aca="false">IF(B24="","",IF(M24="Desestimada","Cerrado - desestimada",IF(AND(M24="Aplicada",OR(P24="Pagada",P24="Incluida en expensas")),"Cerrado - multa cobrada",IF(M24="Aplicada","Multa aplicada - impaga",IF(L24&lt;&gt;"","Descargo respondido - a resolver",IF(J24="Sí","Esperando respuesta descargo","Pendiente enviar descargo"))))))</f>
        <v/>
      </c>
      <c r="T24" s="18" t="str">
        <f aca="true">IF(B24="","",TODAY()-B24)</f>
        <v/>
      </c>
    </row>
    <row r="25" customFormat="false" ht="15" hidden="false" customHeight="false" outlineLevel="0" collapsed="false">
      <c r="A25" s="11" t="str">
        <f aca="false">IF(B25="","",ROW()-3)</f>
        <v/>
      </c>
      <c r="B25" s="12"/>
      <c r="C25" s="13"/>
      <c r="D25" s="14"/>
      <c r="E25" s="11"/>
      <c r="F25" s="15"/>
      <c r="G25" s="14"/>
      <c r="H25" s="15"/>
      <c r="I25" s="15"/>
      <c r="J25" s="16"/>
      <c r="K25" s="12"/>
      <c r="L25" s="12"/>
      <c r="M25" s="16"/>
      <c r="N25" s="12"/>
      <c r="O25" s="17"/>
      <c r="P25" s="16"/>
      <c r="Q25" s="12"/>
      <c r="R25" s="15"/>
      <c r="S25" s="16" t="str">
        <f aca="false">IF(B25="","",IF(M25="Desestimada","Cerrado - desestimada",IF(AND(M25="Aplicada",OR(P25="Pagada",P25="Incluida en expensas")),"Cerrado - multa cobrada",IF(M25="Aplicada","Multa aplicada - impaga",IF(L25&lt;&gt;"","Descargo respondido - a resolver",IF(J25="Sí","Esperando respuesta descargo","Pendiente enviar descargo"))))))</f>
        <v/>
      </c>
      <c r="T25" s="18" t="str">
        <f aca="true">IF(B25="","",TODAY()-B25)</f>
        <v/>
      </c>
    </row>
    <row r="26" customFormat="false" ht="15" hidden="false" customHeight="false" outlineLevel="0" collapsed="false">
      <c r="A26" s="11" t="str">
        <f aca="false">IF(B26="","",ROW()-3)</f>
        <v/>
      </c>
      <c r="B26" s="12"/>
      <c r="C26" s="13"/>
      <c r="D26" s="14"/>
      <c r="E26" s="11"/>
      <c r="F26" s="15"/>
      <c r="G26" s="14"/>
      <c r="H26" s="15"/>
      <c r="I26" s="15"/>
      <c r="J26" s="16"/>
      <c r="K26" s="12"/>
      <c r="L26" s="12"/>
      <c r="M26" s="16"/>
      <c r="N26" s="12"/>
      <c r="O26" s="17"/>
      <c r="P26" s="16"/>
      <c r="Q26" s="12"/>
      <c r="R26" s="15"/>
      <c r="S26" s="16" t="str">
        <f aca="false">IF(B26="","",IF(M26="Desestimada","Cerrado - desestimada",IF(AND(M26="Aplicada",OR(P26="Pagada",P26="Incluida en expensas")),"Cerrado - multa cobrada",IF(M26="Aplicada","Multa aplicada - impaga",IF(L26&lt;&gt;"","Descargo respondido - a resolver",IF(J26="Sí","Esperando respuesta descargo","Pendiente enviar descargo"))))))</f>
        <v/>
      </c>
      <c r="T26" s="18" t="str">
        <f aca="true">IF(B26="","",TODAY()-B26)</f>
        <v/>
      </c>
    </row>
    <row r="27" customFormat="false" ht="15" hidden="false" customHeight="false" outlineLevel="0" collapsed="false">
      <c r="A27" s="11" t="str">
        <f aca="false">IF(B27="","",ROW()-3)</f>
        <v/>
      </c>
      <c r="B27" s="12"/>
      <c r="C27" s="13"/>
      <c r="D27" s="14"/>
      <c r="E27" s="11"/>
      <c r="F27" s="15"/>
      <c r="G27" s="14"/>
      <c r="H27" s="15"/>
      <c r="I27" s="15"/>
      <c r="J27" s="16"/>
      <c r="K27" s="12"/>
      <c r="L27" s="12"/>
      <c r="M27" s="16"/>
      <c r="N27" s="12"/>
      <c r="O27" s="17"/>
      <c r="P27" s="16"/>
      <c r="Q27" s="12"/>
      <c r="R27" s="15"/>
      <c r="S27" s="16" t="str">
        <f aca="false">IF(B27="","",IF(M27="Desestimada","Cerrado - desestimada",IF(AND(M27="Aplicada",OR(P27="Pagada",P27="Incluida en expensas")),"Cerrado - multa cobrada",IF(M27="Aplicada","Multa aplicada - impaga",IF(L27&lt;&gt;"","Descargo respondido - a resolver",IF(J27="Sí","Esperando respuesta descargo","Pendiente enviar descargo"))))))</f>
        <v/>
      </c>
      <c r="T27" s="18" t="str">
        <f aca="true">IF(B27="","",TODAY()-B27)</f>
        <v/>
      </c>
    </row>
    <row r="28" customFormat="false" ht="15" hidden="false" customHeight="false" outlineLevel="0" collapsed="false">
      <c r="A28" s="11" t="str">
        <f aca="false">IF(B28="","",ROW()-3)</f>
        <v/>
      </c>
      <c r="B28" s="12"/>
      <c r="C28" s="13"/>
      <c r="D28" s="14"/>
      <c r="E28" s="11"/>
      <c r="F28" s="15"/>
      <c r="G28" s="14"/>
      <c r="H28" s="15"/>
      <c r="I28" s="15"/>
      <c r="J28" s="16"/>
      <c r="K28" s="12"/>
      <c r="L28" s="12"/>
      <c r="M28" s="16"/>
      <c r="N28" s="12"/>
      <c r="O28" s="17"/>
      <c r="P28" s="16"/>
      <c r="Q28" s="12"/>
      <c r="R28" s="15"/>
      <c r="S28" s="16" t="str">
        <f aca="false">IF(B28="","",IF(M28="Desestimada","Cerrado - desestimada",IF(AND(M28="Aplicada",OR(P28="Pagada",P28="Incluida en expensas")),"Cerrado - multa cobrada",IF(M28="Aplicada","Multa aplicada - impaga",IF(L28&lt;&gt;"","Descargo respondido - a resolver",IF(J28="Sí","Esperando respuesta descargo","Pendiente enviar descargo"))))))</f>
        <v/>
      </c>
      <c r="T28" s="18" t="str">
        <f aca="true">IF(B28="","",TODAY()-B28)</f>
        <v/>
      </c>
    </row>
    <row r="29" customFormat="false" ht="15" hidden="false" customHeight="false" outlineLevel="0" collapsed="false">
      <c r="A29" s="11" t="str">
        <f aca="false">IF(B29="","",ROW()-3)</f>
        <v/>
      </c>
      <c r="B29" s="12"/>
      <c r="C29" s="13"/>
      <c r="D29" s="14"/>
      <c r="E29" s="11"/>
      <c r="F29" s="15"/>
      <c r="G29" s="14"/>
      <c r="H29" s="15"/>
      <c r="I29" s="15"/>
      <c r="J29" s="16"/>
      <c r="K29" s="12"/>
      <c r="L29" s="12"/>
      <c r="M29" s="16"/>
      <c r="N29" s="12"/>
      <c r="O29" s="17"/>
      <c r="P29" s="16"/>
      <c r="Q29" s="12"/>
      <c r="R29" s="15"/>
      <c r="S29" s="16" t="str">
        <f aca="false">IF(B29="","",IF(M29="Desestimada","Cerrado - desestimada",IF(AND(M29="Aplicada",OR(P29="Pagada",P29="Incluida en expensas")),"Cerrado - multa cobrada",IF(M29="Aplicada","Multa aplicada - impaga",IF(L29&lt;&gt;"","Descargo respondido - a resolver",IF(J29="Sí","Esperando respuesta descargo","Pendiente enviar descargo"))))))</f>
        <v/>
      </c>
      <c r="T29" s="18" t="str">
        <f aca="true">IF(B29="","",TODAY()-B29)</f>
        <v/>
      </c>
    </row>
    <row r="30" customFormat="false" ht="15" hidden="false" customHeight="false" outlineLevel="0" collapsed="false">
      <c r="A30" s="11" t="str">
        <f aca="false">IF(B30="","",ROW()-3)</f>
        <v/>
      </c>
      <c r="B30" s="12"/>
      <c r="C30" s="13"/>
      <c r="D30" s="14"/>
      <c r="E30" s="11"/>
      <c r="F30" s="15"/>
      <c r="G30" s="14"/>
      <c r="H30" s="15"/>
      <c r="I30" s="15"/>
      <c r="J30" s="16"/>
      <c r="K30" s="12"/>
      <c r="L30" s="12"/>
      <c r="M30" s="16"/>
      <c r="N30" s="12"/>
      <c r="O30" s="17"/>
      <c r="P30" s="16"/>
      <c r="Q30" s="12"/>
      <c r="R30" s="15"/>
      <c r="S30" s="16" t="str">
        <f aca="false">IF(B30="","",IF(M30="Desestimada","Cerrado - desestimada",IF(AND(M30="Aplicada",OR(P30="Pagada",P30="Incluida en expensas")),"Cerrado - multa cobrada",IF(M30="Aplicada","Multa aplicada - impaga",IF(L30&lt;&gt;"","Descargo respondido - a resolver",IF(J30="Sí","Esperando respuesta descargo","Pendiente enviar descargo"))))))</f>
        <v/>
      </c>
      <c r="T30" s="18" t="str">
        <f aca="true">IF(B30="","",TODAY()-B30)</f>
        <v/>
      </c>
    </row>
    <row r="31" customFormat="false" ht="15" hidden="false" customHeight="false" outlineLevel="0" collapsed="false">
      <c r="A31" s="11" t="str">
        <f aca="false">IF(B31="","",ROW()-3)</f>
        <v/>
      </c>
      <c r="B31" s="12"/>
      <c r="C31" s="13"/>
      <c r="D31" s="14"/>
      <c r="E31" s="11"/>
      <c r="F31" s="15"/>
      <c r="G31" s="14"/>
      <c r="H31" s="15"/>
      <c r="I31" s="15"/>
      <c r="J31" s="16"/>
      <c r="K31" s="12"/>
      <c r="L31" s="12"/>
      <c r="M31" s="16"/>
      <c r="N31" s="12"/>
      <c r="O31" s="17"/>
      <c r="P31" s="16"/>
      <c r="Q31" s="12"/>
      <c r="R31" s="15"/>
      <c r="S31" s="16" t="str">
        <f aca="false">IF(B31="","",IF(M31="Desestimada","Cerrado - desestimada",IF(AND(M31="Aplicada",OR(P31="Pagada",P31="Incluida en expensas")),"Cerrado - multa cobrada",IF(M31="Aplicada","Multa aplicada - impaga",IF(L31&lt;&gt;"","Descargo respondido - a resolver",IF(J31="Sí","Esperando respuesta descargo","Pendiente enviar descargo"))))))</f>
        <v/>
      </c>
      <c r="T31" s="18" t="str">
        <f aca="true">IF(B31="","",TODAY()-B31)</f>
        <v/>
      </c>
    </row>
    <row r="32" customFormat="false" ht="15" hidden="false" customHeight="false" outlineLevel="0" collapsed="false">
      <c r="A32" s="11" t="str">
        <f aca="false">IF(B32="","",ROW()-3)</f>
        <v/>
      </c>
      <c r="B32" s="12"/>
      <c r="C32" s="13"/>
      <c r="D32" s="14"/>
      <c r="E32" s="11"/>
      <c r="F32" s="15"/>
      <c r="G32" s="14"/>
      <c r="H32" s="15"/>
      <c r="I32" s="15"/>
      <c r="J32" s="16"/>
      <c r="K32" s="12"/>
      <c r="L32" s="12"/>
      <c r="M32" s="16"/>
      <c r="N32" s="12"/>
      <c r="O32" s="17"/>
      <c r="P32" s="16"/>
      <c r="Q32" s="12"/>
      <c r="R32" s="15"/>
      <c r="S32" s="16" t="str">
        <f aca="false">IF(B32="","",IF(M32="Desestimada","Cerrado - desestimada",IF(AND(M32="Aplicada",OR(P32="Pagada",P32="Incluida en expensas")),"Cerrado - multa cobrada",IF(M32="Aplicada","Multa aplicada - impaga",IF(L32&lt;&gt;"","Descargo respondido - a resolver",IF(J32="Sí","Esperando respuesta descargo","Pendiente enviar descargo"))))))</f>
        <v/>
      </c>
      <c r="T32" s="18" t="str">
        <f aca="true">IF(B32="","",TODAY()-B32)</f>
        <v/>
      </c>
    </row>
    <row r="33" customFormat="false" ht="15" hidden="false" customHeight="false" outlineLevel="0" collapsed="false">
      <c r="A33" s="11" t="str">
        <f aca="false">IF(B33="","",ROW()-3)</f>
        <v/>
      </c>
      <c r="B33" s="12"/>
      <c r="C33" s="13"/>
      <c r="D33" s="14"/>
      <c r="E33" s="11"/>
      <c r="F33" s="15"/>
      <c r="G33" s="14"/>
      <c r="H33" s="15"/>
      <c r="I33" s="15"/>
      <c r="J33" s="16"/>
      <c r="K33" s="12"/>
      <c r="L33" s="12"/>
      <c r="M33" s="16"/>
      <c r="N33" s="12"/>
      <c r="O33" s="17"/>
      <c r="P33" s="16"/>
      <c r="Q33" s="12"/>
      <c r="R33" s="15"/>
      <c r="S33" s="16" t="str">
        <f aca="false">IF(B33="","",IF(M33="Desestimada","Cerrado - desestimada",IF(AND(M33="Aplicada",OR(P33="Pagada",P33="Incluida en expensas")),"Cerrado - multa cobrada",IF(M33="Aplicada","Multa aplicada - impaga",IF(L33&lt;&gt;"","Descargo respondido - a resolver",IF(J33="Sí","Esperando respuesta descargo","Pendiente enviar descargo"))))))</f>
        <v/>
      </c>
      <c r="T33" s="18" t="str">
        <f aca="true">IF(B33="","",TODAY()-B33)</f>
        <v/>
      </c>
    </row>
    <row r="34" customFormat="false" ht="15" hidden="false" customHeight="false" outlineLevel="0" collapsed="false">
      <c r="A34" s="11" t="str">
        <f aca="false">IF(B34="","",ROW()-3)</f>
        <v/>
      </c>
      <c r="B34" s="12"/>
      <c r="C34" s="13"/>
      <c r="D34" s="14"/>
      <c r="E34" s="11"/>
      <c r="F34" s="15"/>
      <c r="G34" s="14"/>
      <c r="H34" s="15"/>
      <c r="I34" s="15"/>
      <c r="J34" s="16"/>
      <c r="K34" s="12"/>
      <c r="L34" s="12"/>
      <c r="M34" s="16"/>
      <c r="N34" s="12"/>
      <c r="O34" s="17"/>
      <c r="P34" s="16"/>
      <c r="Q34" s="12"/>
      <c r="R34" s="15"/>
      <c r="S34" s="16" t="str">
        <f aca="false">IF(B34="","",IF(M34="Desestimada","Cerrado - desestimada",IF(AND(M34="Aplicada",OR(P34="Pagada",P34="Incluida en expensas")),"Cerrado - multa cobrada",IF(M34="Aplicada","Multa aplicada - impaga",IF(L34&lt;&gt;"","Descargo respondido - a resolver",IF(J34="Sí","Esperando respuesta descargo","Pendiente enviar descargo"))))))</f>
        <v/>
      </c>
      <c r="T34" s="18" t="str">
        <f aca="true">IF(B34="","",TODAY()-B34)</f>
        <v/>
      </c>
    </row>
    <row r="35" customFormat="false" ht="15" hidden="false" customHeight="false" outlineLevel="0" collapsed="false">
      <c r="A35" s="11" t="str">
        <f aca="false">IF(B35="","",ROW()-3)</f>
        <v/>
      </c>
      <c r="B35" s="12"/>
      <c r="C35" s="13"/>
      <c r="D35" s="14"/>
      <c r="E35" s="11"/>
      <c r="F35" s="15"/>
      <c r="G35" s="14"/>
      <c r="H35" s="15"/>
      <c r="I35" s="15"/>
      <c r="J35" s="16"/>
      <c r="K35" s="12"/>
      <c r="L35" s="12"/>
      <c r="M35" s="16"/>
      <c r="N35" s="12"/>
      <c r="O35" s="17"/>
      <c r="P35" s="16"/>
      <c r="Q35" s="12"/>
      <c r="R35" s="15"/>
      <c r="S35" s="16" t="str">
        <f aca="false">IF(B35="","",IF(M35="Desestimada","Cerrado - desestimada",IF(AND(M35="Aplicada",OR(P35="Pagada",P35="Incluida en expensas")),"Cerrado - multa cobrada",IF(M35="Aplicada","Multa aplicada - impaga",IF(L35&lt;&gt;"","Descargo respondido - a resolver",IF(J35="Sí","Esperando respuesta descargo","Pendiente enviar descargo"))))))</f>
        <v/>
      </c>
      <c r="T35" s="18" t="str">
        <f aca="true">IF(B35="","",TODAY()-B35)</f>
        <v/>
      </c>
    </row>
    <row r="36" customFormat="false" ht="15" hidden="false" customHeight="false" outlineLevel="0" collapsed="false">
      <c r="A36" s="11" t="str">
        <f aca="false">IF(B36="","",ROW()-3)</f>
        <v/>
      </c>
      <c r="B36" s="12"/>
      <c r="C36" s="13"/>
      <c r="D36" s="14"/>
      <c r="E36" s="11"/>
      <c r="F36" s="15"/>
      <c r="G36" s="14"/>
      <c r="H36" s="15"/>
      <c r="I36" s="15"/>
      <c r="J36" s="16"/>
      <c r="K36" s="12"/>
      <c r="L36" s="12"/>
      <c r="M36" s="16"/>
      <c r="N36" s="12"/>
      <c r="O36" s="17"/>
      <c r="P36" s="16"/>
      <c r="Q36" s="12"/>
      <c r="R36" s="15"/>
      <c r="S36" s="16" t="str">
        <f aca="false">IF(B36="","",IF(M36="Desestimada","Cerrado - desestimada",IF(AND(M36="Aplicada",OR(P36="Pagada",P36="Incluida en expensas")),"Cerrado - multa cobrada",IF(M36="Aplicada","Multa aplicada - impaga",IF(L36&lt;&gt;"","Descargo respondido - a resolver",IF(J36="Sí","Esperando respuesta descargo","Pendiente enviar descargo"))))))</f>
        <v/>
      </c>
      <c r="T36" s="18" t="str">
        <f aca="true">IF(B36="","",TODAY()-B36)</f>
        <v/>
      </c>
    </row>
    <row r="37" customFormat="false" ht="15" hidden="false" customHeight="false" outlineLevel="0" collapsed="false">
      <c r="A37" s="11" t="str">
        <f aca="false">IF(B37="","",ROW()-3)</f>
        <v/>
      </c>
      <c r="B37" s="12"/>
      <c r="C37" s="13"/>
      <c r="D37" s="14"/>
      <c r="E37" s="11"/>
      <c r="F37" s="15"/>
      <c r="G37" s="14"/>
      <c r="H37" s="15"/>
      <c r="I37" s="15"/>
      <c r="J37" s="16"/>
      <c r="K37" s="12"/>
      <c r="L37" s="12"/>
      <c r="M37" s="16"/>
      <c r="N37" s="12"/>
      <c r="O37" s="17"/>
      <c r="P37" s="16"/>
      <c r="Q37" s="12"/>
      <c r="R37" s="15"/>
      <c r="S37" s="16" t="str">
        <f aca="false">IF(B37="","",IF(M37="Desestimada","Cerrado - desestimada",IF(AND(M37="Aplicada",OR(P37="Pagada",P37="Incluida en expensas")),"Cerrado - multa cobrada",IF(M37="Aplicada","Multa aplicada - impaga",IF(L37&lt;&gt;"","Descargo respondido - a resolver",IF(J37="Sí","Esperando respuesta descargo","Pendiente enviar descargo"))))))</f>
        <v/>
      </c>
      <c r="T37" s="18" t="str">
        <f aca="true">IF(B37="","",TODAY()-B37)</f>
        <v/>
      </c>
    </row>
    <row r="38" customFormat="false" ht="15" hidden="false" customHeight="false" outlineLevel="0" collapsed="false">
      <c r="A38" s="11" t="str">
        <f aca="false">IF(B38="","",ROW()-3)</f>
        <v/>
      </c>
      <c r="B38" s="12"/>
      <c r="C38" s="13"/>
      <c r="D38" s="14"/>
      <c r="E38" s="11"/>
      <c r="F38" s="15"/>
      <c r="G38" s="14"/>
      <c r="H38" s="15"/>
      <c r="I38" s="15"/>
      <c r="J38" s="16"/>
      <c r="K38" s="12"/>
      <c r="L38" s="12"/>
      <c r="M38" s="16"/>
      <c r="N38" s="12"/>
      <c r="O38" s="17"/>
      <c r="P38" s="16"/>
      <c r="Q38" s="12"/>
      <c r="R38" s="15"/>
      <c r="S38" s="16" t="str">
        <f aca="false">IF(B38="","",IF(M38="Desestimada","Cerrado - desestimada",IF(AND(M38="Aplicada",OR(P38="Pagada",P38="Incluida en expensas")),"Cerrado - multa cobrada",IF(M38="Aplicada","Multa aplicada - impaga",IF(L38&lt;&gt;"","Descargo respondido - a resolver",IF(J38="Sí","Esperando respuesta descargo","Pendiente enviar descargo"))))))</f>
        <v/>
      </c>
      <c r="T38" s="18" t="str">
        <f aca="true">IF(B38="","",TODAY()-B38)</f>
        <v/>
      </c>
    </row>
    <row r="39" customFormat="false" ht="15" hidden="false" customHeight="false" outlineLevel="0" collapsed="false">
      <c r="A39" s="11" t="str">
        <f aca="false">IF(B39="","",ROW()-3)</f>
        <v/>
      </c>
      <c r="B39" s="12"/>
      <c r="C39" s="13"/>
      <c r="D39" s="14"/>
      <c r="E39" s="11"/>
      <c r="F39" s="15"/>
      <c r="G39" s="14"/>
      <c r="H39" s="15"/>
      <c r="I39" s="15"/>
      <c r="J39" s="16"/>
      <c r="K39" s="12"/>
      <c r="L39" s="12"/>
      <c r="M39" s="16"/>
      <c r="N39" s="12"/>
      <c r="O39" s="17"/>
      <c r="P39" s="16"/>
      <c r="Q39" s="12"/>
      <c r="R39" s="15"/>
      <c r="S39" s="16" t="str">
        <f aca="false">IF(B39="","",IF(M39="Desestimada","Cerrado - desestimada",IF(AND(M39="Aplicada",OR(P39="Pagada",P39="Incluida en expensas")),"Cerrado - multa cobrada",IF(M39="Aplicada","Multa aplicada - impaga",IF(L39&lt;&gt;"","Descargo respondido - a resolver",IF(J39="Sí","Esperando respuesta descargo","Pendiente enviar descargo"))))))</f>
        <v/>
      </c>
      <c r="T39" s="18" t="str">
        <f aca="true">IF(B39="","",TODAY()-B39)</f>
        <v/>
      </c>
    </row>
    <row r="40" customFormat="false" ht="15" hidden="false" customHeight="false" outlineLevel="0" collapsed="false">
      <c r="A40" s="11" t="str">
        <f aca="false">IF(B40="","",ROW()-3)</f>
        <v/>
      </c>
      <c r="B40" s="12"/>
      <c r="C40" s="13"/>
      <c r="D40" s="14"/>
      <c r="E40" s="11"/>
      <c r="F40" s="15"/>
      <c r="G40" s="14"/>
      <c r="H40" s="15"/>
      <c r="I40" s="15"/>
      <c r="J40" s="16"/>
      <c r="K40" s="12"/>
      <c r="L40" s="12"/>
      <c r="M40" s="16"/>
      <c r="N40" s="12"/>
      <c r="O40" s="17"/>
      <c r="P40" s="16"/>
      <c r="Q40" s="12"/>
      <c r="R40" s="15"/>
      <c r="S40" s="16" t="str">
        <f aca="false">IF(B40="","",IF(M40="Desestimada","Cerrado - desestimada",IF(AND(M40="Aplicada",OR(P40="Pagada",P40="Incluida en expensas")),"Cerrado - multa cobrada",IF(M40="Aplicada","Multa aplicada - impaga",IF(L40&lt;&gt;"","Descargo respondido - a resolver",IF(J40="Sí","Esperando respuesta descargo","Pendiente enviar descargo"))))))</f>
        <v/>
      </c>
      <c r="T40" s="18" t="str">
        <f aca="true">IF(B40="","",TODAY()-B40)</f>
        <v/>
      </c>
    </row>
    <row r="41" customFormat="false" ht="15" hidden="false" customHeight="false" outlineLevel="0" collapsed="false">
      <c r="A41" s="11" t="str">
        <f aca="false">IF(B41="","",ROW()-3)</f>
        <v/>
      </c>
      <c r="B41" s="12"/>
      <c r="C41" s="13"/>
      <c r="D41" s="14"/>
      <c r="E41" s="11"/>
      <c r="F41" s="15"/>
      <c r="G41" s="14"/>
      <c r="H41" s="15"/>
      <c r="I41" s="15"/>
      <c r="J41" s="16"/>
      <c r="K41" s="12"/>
      <c r="L41" s="12"/>
      <c r="M41" s="16"/>
      <c r="N41" s="12"/>
      <c r="O41" s="17"/>
      <c r="P41" s="16"/>
      <c r="Q41" s="12"/>
      <c r="R41" s="15"/>
      <c r="S41" s="16" t="str">
        <f aca="false">IF(B41="","",IF(M41="Desestimada","Cerrado - desestimada",IF(AND(M41="Aplicada",OR(P41="Pagada",P41="Incluida en expensas")),"Cerrado - multa cobrada",IF(M41="Aplicada","Multa aplicada - impaga",IF(L41&lt;&gt;"","Descargo respondido - a resolver",IF(J41="Sí","Esperando respuesta descargo","Pendiente enviar descargo"))))))</f>
        <v/>
      </c>
      <c r="T41" s="18" t="str">
        <f aca="true">IF(B41="","",TODAY()-B41)</f>
        <v/>
      </c>
    </row>
    <row r="42" customFormat="false" ht="15" hidden="false" customHeight="false" outlineLevel="0" collapsed="false">
      <c r="A42" s="11" t="str">
        <f aca="false">IF(B42="","",ROW()-3)</f>
        <v/>
      </c>
      <c r="B42" s="12"/>
      <c r="C42" s="13"/>
      <c r="D42" s="14"/>
      <c r="E42" s="11"/>
      <c r="F42" s="15"/>
      <c r="G42" s="14"/>
      <c r="H42" s="15"/>
      <c r="I42" s="15"/>
      <c r="J42" s="16"/>
      <c r="K42" s="12"/>
      <c r="L42" s="12"/>
      <c r="M42" s="16"/>
      <c r="N42" s="12"/>
      <c r="O42" s="17"/>
      <c r="P42" s="16"/>
      <c r="Q42" s="12"/>
      <c r="R42" s="15"/>
      <c r="S42" s="16" t="str">
        <f aca="false">IF(B42="","",IF(M42="Desestimada","Cerrado - desestimada",IF(AND(M42="Aplicada",OR(P42="Pagada",P42="Incluida en expensas")),"Cerrado - multa cobrada",IF(M42="Aplicada","Multa aplicada - impaga",IF(L42&lt;&gt;"","Descargo respondido - a resolver",IF(J42="Sí","Esperando respuesta descargo","Pendiente enviar descargo"))))))</f>
        <v/>
      </c>
      <c r="T42" s="18" t="str">
        <f aca="true">IF(B42="","",TODAY()-B42)</f>
        <v/>
      </c>
    </row>
    <row r="43" customFormat="false" ht="15" hidden="false" customHeight="false" outlineLevel="0" collapsed="false">
      <c r="A43" s="11" t="str">
        <f aca="false">IF(B43="","",ROW()-3)</f>
        <v/>
      </c>
      <c r="B43" s="12"/>
      <c r="C43" s="13"/>
      <c r="D43" s="14"/>
      <c r="E43" s="11"/>
      <c r="F43" s="15"/>
      <c r="G43" s="14"/>
      <c r="H43" s="15"/>
      <c r="I43" s="15"/>
      <c r="J43" s="16"/>
      <c r="K43" s="12"/>
      <c r="L43" s="12"/>
      <c r="M43" s="16"/>
      <c r="N43" s="12"/>
      <c r="O43" s="17"/>
      <c r="P43" s="16"/>
      <c r="Q43" s="12"/>
      <c r="R43" s="15"/>
      <c r="S43" s="16" t="str">
        <f aca="false">IF(B43="","",IF(M43="Desestimada","Cerrado - desestimada",IF(AND(M43="Aplicada",OR(P43="Pagada",P43="Incluida en expensas")),"Cerrado - multa cobrada",IF(M43="Aplicada","Multa aplicada - impaga",IF(L43&lt;&gt;"","Descargo respondido - a resolver",IF(J43="Sí","Esperando respuesta descargo","Pendiente enviar descargo"))))))</f>
        <v/>
      </c>
      <c r="T43" s="18" t="str">
        <f aca="true">IF(B43="","",TODAY()-B43)</f>
        <v/>
      </c>
    </row>
    <row r="44" customFormat="false" ht="15" hidden="false" customHeight="false" outlineLevel="0" collapsed="false">
      <c r="A44" s="11" t="str">
        <f aca="false">IF(B44="","",ROW()-3)</f>
        <v/>
      </c>
      <c r="B44" s="12"/>
      <c r="C44" s="13"/>
      <c r="D44" s="14"/>
      <c r="E44" s="11"/>
      <c r="F44" s="15"/>
      <c r="G44" s="14"/>
      <c r="H44" s="15"/>
      <c r="I44" s="15"/>
      <c r="J44" s="16"/>
      <c r="K44" s="12"/>
      <c r="L44" s="12"/>
      <c r="M44" s="16"/>
      <c r="N44" s="12"/>
      <c r="O44" s="17"/>
      <c r="P44" s="16"/>
      <c r="Q44" s="12"/>
      <c r="R44" s="15"/>
      <c r="S44" s="16" t="str">
        <f aca="false">IF(B44="","",IF(M44="Desestimada","Cerrado - desestimada",IF(AND(M44="Aplicada",OR(P44="Pagada",P44="Incluida en expensas")),"Cerrado - multa cobrada",IF(M44="Aplicada","Multa aplicada - impaga",IF(L44&lt;&gt;"","Descargo respondido - a resolver",IF(J44="Sí","Esperando respuesta descargo","Pendiente enviar descargo"))))))</f>
        <v/>
      </c>
      <c r="T44" s="18" t="str">
        <f aca="true">IF(B44="","",TODAY()-B44)</f>
        <v/>
      </c>
    </row>
    <row r="45" customFormat="false" ht="15" hidden="false" customHeight="false" outlineLevel="0" collapsed="false">
      <c r="A45" s="11" t="str">
        <f aca="false">IF(B45="","",ROW()-3)</f>
        <v/>
      </c>
      <c r="B45" s="12"/>
      <c r="C45" s="13"/>
      <c r="D45" s="14"/>
      <c r="E45" s="11"/>
      <c r="F45" s="15"/>
      <c r="G45" s="14"/>
      <c r="H45" s="15"/>
      <c r="I45" s="15"/>
      <c r="J45" s="16"/>
      <c r="K45" s="12"/>
      <c r="L45" s="12"/>
      <c r="M45" s="16"/>
      <c r="N45" s="12"/>
      <c r="O45" s="17"/>
      <c r="P45" s="16"/>
      <c r="Q45" s="12"/>
      <c r="R45" s="15"/>
      <c r="S45" s="16" t="str">
        <f aca="false">IF(B45="","",IF(M45="Desestimada","Cerrado - desestimada",IF(AND(M45="Aplicada",OR(P45="Pagada",P45="Incluida en expensas")),"Cerrado - multa cobrada",IF(M45="Aplicada","Multa aplicada - impaga",IF(L45&lt;&gt;"","Descargo respondido - a resolver",IF(J45="Sí","Esperando respuesta descargo","Pendiente enviar descargo"))))))</f>
        <v/>
      </c>
      <c r="T45" s="18" t="str">
        <f aca="true">IF(B45="","",TODAY()-B45)</f>
        <v/>
      </c>
    </row>
    <row r="46" customFormat="false" ht="15" hidden="false" customHeight="false" outlineLevel="0" collapsed="false">
      <c r="A46" s="11" t="str">
        <f aca="false">IF(B46="","",ROW()-3)</f>
        <v/>
      </c>
      <c r="B46" s="12"/>
      <c r="C46" s="13"/>
      <c r="D46" s="14"/>
      <c r="E46" s="11"/>
      <c r="F46" s="15"/>
      <c r="G46" s="14"/>
      <c r="H46" s="15"/>
      <c r="I46" s="15"/>
      <c r="J46" s="16"/>
      <c r="K46" s="12"/>
      <c r="L46" s="12"/>
      <c r="M46" s="16"/>
      <c r="N46" s="12"/>
      <c r="O46" s="17"/>
      <c r="P46" s="16"/>
      <c r="Q46" s="12"/>
      <c r="R46" s="15"/>
      <c r="S46" s="16" t="str">
        <f aca="false">IF(B46="","",IF(M46="Desestimada","Cerrado - desestimada",IF(AND(M46="Aplicada",OR(P46="Pagada",P46="Incluida en expensas")),"Cerrado - multa cobrada",IF(M46="Aplicada","Multa aplicada - impaga",IF(L46&lt;&gt;"","Descargo respondido - a resolver",IF(J46="Sí","Esperando respuesta descargo","Pendiente enviar descargo"))))))</f>
        <v/>
      </c>
      <c r="T46" s="18" t="str">
        <f aca="true">IF(B46="","",TODAY()-B46)</f>
        <v/>
      </c>
    </row>
    <row r="47" customFormat="false" ht="15" hidden="false" customHeight="false" outlineLevel="0" collapsed="false">
      <c r="A47" s="11" t="str">
        <f aca="false">IF(B47="","",ROW()-3)</f>
        <v/>
      </c>
      <c r="B47" s="12"/>
      <c r="C47" s="13"/>
      <c r="D47" s="14"/>
      <c r="E47" s="11"/>
      <c r="F47" s="15"/>
      <c r="G47" s="14"/>
      <c r="H47" s="15"/>
      <c r="I47" s="15"/>
      <c r="J47" s="16"/>
      <c r="K47" s="12"/>
      <c r="L47" s="12"/>
      <c r="M47" s="16"/>
      <c r="N47" s="12"/>
      <c r="O47" s="17"/>
      <c r="P47" s="16"/>
      <c r="Q47" s="12"/>
      <c r="R47" s="15"/>
      <c r="S47" s="16" t="str">
        <f aca="false">IF(B47="","",IF(M47="Desestimada","Cerrado - desestimada",IF(AND(M47="Aplicada",OR(P47="Pagada",P47="Incluida en expensas")),"Cerrado - multa cobrada",IF(M47="Aplicada","Multa aplicada - impaga",IF(L47&lt;&gt;"","Descargo respondido - a resolver",IF(J47="Sí","Esperando respuesta descargo","Pendiente enviar descargo"))))))</f>
        <v/>
      </c>
      <c r="T47" s="18" t="str">
        <f aca="true">IF(B47="","",TODAY()-B47)</f>
        <v/>
      </c>
    </row>
    <row r="48" customFormat="false" ht="15" hidden="false" customHeight="false" outlineLevel="0" collapsed="false">
      <c r="A48" s="11" t="str">
        <f aca="false">IF(B48="","",ROW()-3)</f>
        <v/>
      </c>
      <c r="B48" s="12"/>
      <c r="C48" s="13"/>
      <c r="D48" s="14"/>
      <c r="E48" s="11"/>
      <c r="F48" s="15"/>
      <c r="G48" s="14"/>
      <c r="H48" s="15"/>
      <c r="I48" s="15"/>
      <c r="J48" s="16"/>
      <c r="K48" s="12"/>
      <c r="L48" s="12"/>
      <c r="M48" s="16"/>
      <c r="N48" s="12"/>
      <c r="O48" s="17"/>
      <c r="P48" s="16"/>
      <c r="Q48" s="12"/>
      <c r="R48" s="15"/>
      <c r="S48" s="16" t="str">
        <f aca="false">IF(B48="","",IF(M48="Desestimada","Cerrado - desestimada",IF(AND(M48="Aplicada",OR(P48="Pagada",P48="Incluida en expensas")),"Cerrado - multa cobrada",IF(M48="Aplicada","Multa aplicada - impaga",IF(L48&lt;&gt;"","Descargo respondido - a resolver",IF(J48="Sí","Esperando respuesta descargo","Pendiente enviar descargo"))))))</f>
        <v/>
      </c>
      <c r="T48" s="18" t="str">
        <f aca="true">IF(B48="","",TODAY()-B48)</f>
        <v/>
      </c>
    </row>
    <row r="49" customFormat="false" ht="15" hidden="false" customHeight="false" outlineLevel="0" collapsed="false">
      <c r="A49" s="11" t="str">
        <f aca="false">IF(B49="","",ROW()-3)</f>
        <v/>
      </c>
      <c r="B49" s="12"/>
      <c r="C49" s="13"/>
      <c r="D49" s="14"/>
      <c r="E49" s="11"/>
      <c r="F49" s="15"/>
      <c r="G49" s="14"/>
      <c r="H49" s="15"/>
      <c r="I49" s="15"/>
      <c r="J49" s="16"/>
      <c r="K49" s="12"/>
      <c r="L49" s="12"/>
      <c r="M49" s="16"/>
      <c r="N49" s="12"/>
      <c r="O49" s="17"/>
      <c r="P49" s="16"/>
      <c r="Q49" s="12"/>
      <c r="R49" s="15"/>
      <c r="S49" s="16" t="str">
        <f aca="false">IF(B49="","",IF(M49="Desestimada","Cerrado - desestimada",IF(AND(M49="Aplicada",OR(P49="Pagada",P49="Incluida en expensas")),"Cerrado - multa cobrada",IF(M49="Aplicada","Multa aplicada - impaga",IF(L49&lt;&gt;"","Descargo respondido - a resolver",IF(J49="Sí","Esperando respuesta descargo","Pendiente enviar descargo"))))))</f>
        <v/>
      </c>
      <c r="T49" s="18" t="str">
        <f aca="true">IF(B49="","",TODAY()-B49)</f>
        <v/>
      </c>
    </row>
    <row r="50" customFormat="false" ht="15" hidden="false" customHeight="false" outlineLevel="0" collapsed="false">
      <c r="A50" s="11" t="str">
        <f aca="false">IF(B50="","",ROW()-3)</f>
        <v/>
      </c>
      <c r="B50" s="12"/>
      <c r="C50" s="13"/>
      <c r="D50" s="14"/>
      <c r="E50" s="11"/>
      <c r="F50" s="15"/>
      <c r="G50" s="14"/>
      <c r="H50" s="15"/>
      <c r="I50" s="15"/>
      <c r="J50" s="16"/>
      <c r="K50" s="12"/>
      <c r="L50" s="12"/>
      <c r="M50" s="16"/>
      <c r="N50" s="12"/>
      <c r="O50" s="17"/>
      <c r="P50" s="16"/>
      <c r="Q50" s="12"/>
      <c r="R50" s="15"/>
      <c r="S50" s="16" t="str">
        <f aca="false">IF(B50="","",IF(M50="Desestimada","Cerrado - desestimada",IF(AND(M50="Aplicada",OR(P50="Pagada",P50="Incluida en expensas")),"Cerrado - multa cobrada",IF(M50="Aplicada","Multa aplicada - impaga",IF(L50&lt;&gt;"","Descargo respondido - a resolver",IF(J50="Sí","Esperando respuesta descargo","Pendiente enviar descargo"))))))</f>
        <v/>
      </c>
      <c r="T50" s="18" t="str">
        <f aca="true">IF(B50="","",TODAY()-B50)</f>
        <v/>
      </c>
    </row>
    <row r="51" customFormat="false" ht="15" hidden="false" customHeight="false" outlineLevel="0" collapsed="false">
      <c r="A51" s="11" t="str">
        <f aca="false">IF(B51="","",ROW()-3)</f>
        <v/>
      </c>
      <c r="B51" s="12"/>
      <c r="C51" s="13"/>
      <c r="D51" s="14"/>
      <c r="E51" s="11"/>
      <c r="F51" s="15"/>
      <c r="G51" s="14"/>
      <c r="H51" s="15"/>
      <c r="I51" s="15"/>
      <c r="J51" s="16"/>
      <c r="K51" s="12"/>
      <c r="L51" s="12"/>
      <c r="M51" s="16"/>
      <c r="N51" s="12"/>
      <c r="O51" s="17"/>
      <c r="P51" s="16"/>
      <c r="Q51" s="12"/>
      <c r="R51" s="15"/>
      <c r="S51" s="16" t="str">
        <f aca="false">IF(B51="","",IF(M51="Desestimada","Cerrado - desestimada",IF(AND(M51="Aplicada",OR(P51="Pagada",P51="Incluida en expensas")),"Cerrado - multa cobrada",IF(M51="Aplicada","Multa aplicada - impaga",IF(L51&lt;&gt;"","Descargo respondido - a resolver",IF(J51="Sí","Esperando respuesta descargo","Pendiente enviar descargo"))))))</f>
        <v/>
      </c>
      <c r="T51" s="18" t="str">
        <f aca="true">IF(B51="","",TODAY()-B51)</f>
        <v/>
      </c>
    </row>
    <row r="52" customFormat="false" ht="15" hidden="false" customHeight="false" outlineLevel="0" collapsed="false">
      <c r="A52" s="11" t="str">
        <f aca="false">IF(B52="","",ROW()-3)</f>
        <v/>
      </c>
      <c r="B52" s="12"/>
      <c r="C52" s="13"/>
      <c r="D52" s="14"/>
      <c r="E52" s="11"/>
      <c r="F52" s="15"/>
      <c r="G52" s="14"/>
      <c r="H52" s="15"/>
      <c r="I52" s="15"/>
      <c r="J52" s="16"/>
      <c r="K52" s="12"/>
      <c r="L52" s="12"/>
      <c r="M52" s="16"/>
      <c r="N52" s="12"/>
      <c r="O52" s="17"/>
      <c r="P52" s="16"/>
      <c r="Q52" s="12"/>
      <c r="R52" s="15"/>
      <c r="S52" s="16" t="str">
        <f aca="false">IF(B52="","",IF(M52="Desestimada","Cerrado - desestimada",IF(AND(M52="Aplicada",OR(P52="Pagada",P52="Incluida en expensas")),"Cerrado - multa cobrada",IF(M52="Aplicada","Multa aplicada - impaga",IF(L52&lt;&gt;"","Descargo respondido - a resolver",IF(J52="Sí","Esperando respuesta descargo","Pendiente enviar descargo"))))))</f>
        <v/>
      </c>
      <c r="T52" s="18" t="str">
        <f aca="true">IF(B52="","",TODAY()-B52)</f>
        <v/>
      </c>
    </row>
    <row r="53" customFormat="false" ht="15" hidden="false" customHeight="false" outlineLevel="0" collapsed="false">
      <c r="A53" s="11" t="str">
        <f aca="false">IF(B53="","",ROW()-3)</f>
        <v/>
      </c>
      <c r="B53" s="12"/>
      <c r="C53" s="13"/>
      <c r="D53" s="14"/>
      <c r="E53" s="11"/>
      <c r="F53" s="15"/>
      <c r="G53" s="14"/>
      <c r="H53" s="15"/>
      <c r="I53" s="15"/>
      <c r="J53" s="16"/>
      <c r="K53" s="12"/>
      <c r="L53" s="12"/>
      <c r="M53" s="16"/>
      <c r="N53" s="12"/>
      <c r="O53" s="17"/>
      <c r="P53" s="16"/>
      <c r="Q53" s="12"/>
      <c r="R53" s="15"/>
      <c r="S53" s="16" t="str">
        <f aca="false">IF(B53="","",IF(M53="Desestimada","Cerrado - desestimada",IF(AND(M53="Aplicada",OR(P53="Pagada",P53="Incluida en expensas")),"Cerrado - multa cobrada",IF(M53="Aplicada","Multa aplicada - impaga",IF(L53&lt;&gt;"","Descargo respondido - a resolver",IF(J53="Sí","Esperando respuesta descargo","Pendiente enviar descargo"))))))</f>
        <v/>
      </c>
      <c r="T53" s="18" t="str">
        <f aca="true">IF(B53="","",TODAY()-B53)</f>
        <v/>
      </c>
    </row>
    <row r="54" customFormat="false" ht="15" hidden="false" customHeight="false" outlineLevel="0" collapsed="false">
      <c r="A54" s="11" t="str">
        <f aca="false">IF(B54="","",ROW()-3)</f>
        <v/>
      </c>
      <c r="B54" s="12"/>
      <c r="C54" s="13"/>
      <c r="D54" s="14"/>
      <c r="E54" s="11"/>
      <c r="F54" s="15"/>
      <c r="G54" s="14"/>
      <c r="H54" s="15"/>
      <c r="I54" s="15"/>
      <c r="J54" s="16"/>
      <c r="K54" s="12"/>
      <c r="L54" s="12"/>
      <c r="M54" s="16"/>
      <c r="N54" s="12"/>
      <c r="O54" s="17"/>
      <c r="P54" s="16"/>
      <c r="Q54" s="12"/>
      <c r="R54" s="15"/>
      <c r="S54" s="16" t="str">
        <f aca="false">IF(B54="","",IF(M54="Desestimada","Cerrado - desestimada",IF(AND(M54="Aplicada",OR(P54="Pagada",P54="Incluida en expensas")),"Cerrado - multa cobrada",IF(M54="Aplicada","Multa aplicada - impaga",IF(L54&lt;&gt;"","Descargo respondido - a resolver",IF(J54="Sí","Esperando respuesta descargo","Pendiente enviar descargo"))))))</f>
        <v/>
      </c>
      <c r="T54" s="18" t="str">
        <f aca="true">IF(B54="","",TODAY()-B54)</f>
        <v/>
      </c>
    </row>
    <row r="55" customFormat="false" ht="15" hidden="false" customHeight="false" outlineLevel="0" collapsed="false">
      <c r="A55" s="11" t="str">
        <f aca="false">IF(B55="","",ROW()-3)</f>
        <v/>
      </c>
      <c r="B55" s="12"/>
      <c r="C55" s="13"/>
      <c r="D55" s="14"/>
      <c r="E55" s="11"/>
      <c r="F55" s="15"/>
      <c r="G55" s="14"/>
      <c r="H55" s="15"/>
      <c r="I55" s="15"/>
      <c r="J55" s="16"/>
      <c r="K55" s="12"/>
      <c r="L55" s="12"/>
      <c r="M55" s="16"/>
      <c r="N55" s="12"/>
      <c r="O55" s="17"/>
      <c r="P55" s="16"/>
      <c r="Q55" s="12"/>
      <c r="R55" s="15"/>
      <c r="S55" s="16" t="str">
        <f aca="false">IF(B55="","",IF(M55="Desestimada","Cerrado - desestimada",IF(AND(M55="Aplicada",OR(P55="Pagada",P55="Incluida en expensas")),"Cerrado - multa cobrada",IF(M55="Aplicada","Multa aplicada - impaga",IF(L55&lt;&gt;"","Descargo respondido - a resolver",IF(J55="Sí","Esperando respuesta descargo","Pendiente enviar descargo"))))))</f>
        <v/>
      </c>
      <c r="T55" s="18" t="str">
        <f aca="true">IF(B55="","",TODAY()-B55)</f>
        <v/>
      </c>
    </row>
    <row r="56" customFormat="false" ht="15" hidden="false" customHeight="false" outlineLevel="0" collapsed="false">
      <c r="A56" s="11" t="str">
        <f aca="false">IF(B56="","",ROW()-3)</f>
        <v/>
      </c>
      <c r="B56" s="12"/>
      <c r="C56" s="13"/>
      <c r="D56" s="14"/>
      <c r="E56" s="11"/>
      <c r="F56" s="15"/>
      <c r="G56" s="14"/>
      <c r="H56" s="15"/>
      <c r="I56" s="15"/>
      <c r="J56" s="16"/>
      <c r="K56" s="12"/>
      <c r="L56" s="12"/>
      <c r="M56" s="16"/>
      <c r="N56" s="12"/>
      <c r="O56" s="17"/>
      <c r="P56" s="16"/>
      <c r="Q56" s="12"/>
      <c r="R56" s="15"/>
      <c r="S56" s="16" t="str">
        <f aca="false">IF(B56="","",IF(M56="Desestimada","Cerrado - desestimada",IF(AND(M56="Aplicada",OR(P56="Pagada",P56="Incluida en expensas")),"Cerrado - multa cobrada",IF(M56="Aplicada","Multa aplicada - impaga",IF(L56&lt;&gt;"","Descargo respondido - a resolver",IF(J56="Sí","Esperando respuesta descargo","Pendiente enviar descargo"))))))</f>
        <v/>
      </c>
      <c r="T56" s="18" t="str">
        <f aca="true">IF(B56="","",TODAY()-B56)</f>
        <v/>
      </c>
    </row>
    <row r="57" customFormat="false" ht="15" hidden="false" customHeight="false" outlineLevel="0" collapsed="false">
      <c r="A57" s="11" t="str">
        <f aca="false">IF(B57="","",ROW()-3)</f>
        <v/>
      </c>
      <c r="B57" s="12"/>
      <c r="C57" s="13"/>
      <c r="D57" s="14"/>
      <c r="E57" s="11"/>
      <c r="F57" s="15"/>
      <c r="G57" s="14"/>
      <c r="H57" s="15"/>
      <c r="I57" s="15"/>
      <c r="J57" s="16"/>
      <c r="K57" s="12"/>
      <c r="L57" s="12"/>
      <c r="M57" s="16"/>
      <c r="N57" s="12"/>
      <c r="O57" s="17"/>
      <c r="P57" s="16"/>
      <c r="Q57" s="12"/>
      <c r="R57" s="15"/>
      <c r="S57" s="16" t="str">
        <f aca="false">IF(B57="","",IF(M57="Desestimada","Cerrado - desestimada",IF(AND(M57="Aplicada",OR(P57="Pagada",P57="Incluida en expensas")),"Cerrado - multa cobrada",IF(M57="Aplicada","Multa aplicada - impaga",IF(L57&lt;&gt;"","Descargo respondido - a resolver",IF(J57="Sí","Esperando respuesta descargo","Pendiente enviar descargo"))))))</f>
        <v/>
      </c>
      <c r="T57" s="18" t="str">
        <f aca="true">IF(B57="","",TODAY()-B57)</f>
        <v/>
      </c>
    </row>
    <row r="58" customFormat="false" ht="15" hidden="false" customHeight="false" outlineLevel="0" collapsed="false">
      <c r="A58" s="11" t="str">
        <f aca="false">IF(B58="","",ROW()-3)</f>
        <v/>
      </c>
      <c r="B58" s="12"/>
      <c r="C58" s="13"/>
      <c r="D58" s="14"/>
      <c r="E58" s="11"/>
      <c r="F58" s="15"/>
      <c r="G58" s="14"/>
      <c r="H58" s="15"/>
      <c r="I58" s="15"/>
      <c r="J58" s="16"/>
      <c r="K58" s="12"/>
      <c r="L58" s="12"/>
      <c r="M58" s="16"/>
      <c r="N58" s="12"/>
      <c r="O58" s="17"/>
      <c r="P58" s="16"/>
      <c r="Q58" s="12"/>
      <c r="R58" s="15"/>
      <c r="S58" s="16" t="str">
        <f aca="false">IF(B58="","",IF(M58="Desestimada","Cerrado - desestimada",IF(AND(M58="Aplicada",OR(P58="Pagada",P58="Incluida en expensas")),"Cerrado - multa cobrada",IF(M58="Aplicada","Multa aplicada - impaga",IF(L58&lt;&gt;"","Descargo respondido - a resolver",IF(J58="Sí","Esperando respuesta descargo","Pendiente enviar descargo"))))))</f>
        <v/>
      </c>
      <c r="T58" s="18" t="str">
        <f aca="true">IF(B58="","",TODAY()-B58)</f>
        <v/>
      </c>
    </row>
    <row r="59" customFormat="false" ht="15" hidden="false" customHeight="false" outlineLevel="0" collapsed="false">
      <c r="A59" s="11" t="str">
        <f aca="false">IF(B59="","",ROW()-3)</f>
        <v/>
      </c>
      <c r="B59" s="12"/>
      <c r="C59" s="13"/>
      <c r="D59" s="14"/>
      <c r="E59" s="11"/>
      <c r="F59" s="15"/>
      <c r="G59" s="14"/>
      <c r="H59" s="15"/>
      <c r="I59" s="15"/>
      <c r="J59" s="16"/>
      <c r="K59" s="12"/>
      <c r="L59" s="12"/>
      <c r="M59" s="16"/>
      <c r="N59" s="12"/>
      <c r="O59" s="17"/>
      <c r="P59" s="16"/>
      <c r="Q59" s="12"/>
      <c r="R59" s="15"/>
      <c r="S59" s="16" t="str">
        <f aca="false">IF(B59="","",IF(M59="Desestimada","Cerrado - desestimada",IF(AND(M59="Aplicada",OR(P59="Pagada",P59="Incluida en expensas")),"Cerrado - multa cobrada",IF(M59="Aplicada","Multa aplicada - impaga",IF(L59&lt;&gt;"","Descargo respondido - a resolver",IF(J59="Sí","Esperando respuesta descargo","Pendiente enviar descargo"))))))</f>
        <v/>
      </c>
      <c r="T59" s="18" t="str">
        <f aca="true">IF(B59="","",TODAY()-B59)</f>
        <v/>
      </c>
    </row>
    <row r="60" customFormat="false" ht="15" hidden="false" customHeight="false" outlineLevel="0" collapsed="false">
      <c r="A60" s="11" t="str">
        <f aca="false">IF(B60="","",ROW()-3)</f>
        <v/>
      </c>
      <c r="B60" s="12"/>
      <c r="C60" s="13"/>
      <c r="D60" s="14"/>
      <c r="E60" s="11"/>
      <c r="F60" s="15"/>
      <c r="G60" s="14"/>
      <c r="H60" s="15"/>
      <c r="I60" s="15"/>
      <c r="J60" s="16"/>
      <c r="K60" s="12"/>
      <c r="L60" s="12"/>
      <c r="M60" s="16"/>
      <c r="N60" s="12"/>
      <c r="O60" s="17"/>
      <c r="P60" s="16"/>
      <c r="Q60" s="12"/>
      <c r="R60" s="15"/>
      <c r="S60" s="16" t="str">
        <f aca="false">IF(B60="","",IF(M60="Desestimada","Cerrado - desestimada",IF(AND(M60="Aplicada",OR(P60="Pagada",P60="Incluida en expensas")),"Cerrado - multa cobrada",IF(M60="Aplicada","Multa aplicada - impaga",IF(L60&lt;&gt;"","Descargo respondido - a resolver",IF(J60="Sí","Esperando respuesta descargo","Pendiente enviar descargo"))))))</f>
        <v/>
      </c>
      <c r="T60" s="18" t="str">
        <f aca="true">IF(B60="","",TODAY()-B60)</f>
        <v/>
      </c>
    </row>
    <row r="61" customFormat="false" ht="15" hidden="false" customHeight="false" outlineLevel="0" collapsed="false">
      <c r="A61" s="11" t="str">
        <f aca="false">IF(B61="","",ROW()-3)</f>
        <v/>
      </c>
      <c r="B61" s="12"/>
      <c r="C61" s="13"/>
      <c r="D61" s="14"/>
      <c r="E61" s="11"/>
      <c r="F61" s="15"/>
      <c r="G61" s="14"/>
      <c r="H61" s="15"/>
      <c r="I61" s="15"/>
      <c r="J61" s="16"/>
      <c r="K61" s="12"/>
      <c r="L61" s="12"/>
      <c r="M61" s="16"/>
      <c r="N61" s="12"/>
      <c r="O61" s="17"/>
      <c r="P61" s="16"/>
      <c r="Q61" s="12"/>
      <c r="R61" s="15"/>
      <c r="S61" s="16" t="str">
        <f aca="false">IF(B61="","",IF(M61="Desestimada","Cerrado - desestimada",IF(AND(M61="Aplicada",OR(P61="Pagada",P61="Incluida en expensas")),"Cerrado - multa cobrada",IF(M61="Aplicada","Multa aplicada - impaga",IF(L61&lt;&gt;"","Descargo respondido - a resolver",IF(J61="Sí","Esperando respuesta descargo","Pendiente enviar descargo"))))))</f>
        <v/>
      </c>
      <c r="T61" s="18" t="str">
        <f aca="true">IF(B61="","",TODAY()-B61)</f>
        <v/>
      </c>
    </row>
    <row r="62" customFormat="false" ht="15" hidden="false" customHeight="false" outlineLevel="0" collapsed="false">
      <c r="A62" s="11" t="str">
        <f aca="false">IF(B62="","",ROW()-3)</f>
        <v/>
      </c>
      <c r="B62" s="12"/>
      <c r="C62" s="13"/>
      <c r="D62" s="14"/>
      <c r="E62" s="11"/>
      <c r="F62" s="15"/>
      <c r="G62" s="14"/>
      <c r="H62" s="15"/>
      <c r="I62" s="15"/>
      <c r="J62" s="16"/>
      <c r="K62" s="12"/>
      <c r="L62" s="12"/>
      <c r="M62" s="16"/>
      <c r="N62" s="12"/>
      <c r="O62" s="17"/>
      <c r="P62" s="16"/>
      <c r="Q62" s="12"/>
      <c r="R62" s="15"/>
      <c r="S62" s="16" t="str">
        <f aca="false">IF(B62="","",IF(M62="Desestimada","Cerrado - desestimada",IF(AND(M62="Aplicada",OR(P62="Pagada",P62="Incluida en expensas")),"Cerrado - multa cobrada",IF(M62="Aplicada","Multa aplicada - impaga",IF(L62&lt;&gt;"","Descargo respondido - a resolver",IF(J62="Sí","Esperando respuesta descargo","Pendiente enviar descargo"))))))</f>
        <v/>
      </c>
      <c r="T62" s="18" t="str">
        <f aca="true">IF(B62="","",TODAY()-B62)</f>
        <v/>
      </c>
    </row>
    <row r="63" customFormat="false" ht="15" hidden="false" customHeight="false" outlineLevel="0" collapsed="false">
      <c r="A63" s="11" t="str">
        <f aca="false">IF(B63="","",ROW()-3)</f>
        <v/>
      </c>
      <c r="B63" s="12"/>
      <c r="C63" s="13"/>
      <c r="D63" s="14"/>
      <c r="E63" s="11"/>
      <c r="F63" s="15"/>
      <c r="G63" s="14"/>
      <c r="H63" s="15"/>
      <c r="I63" s="15"/>
      <c r="J63" s="16"/>
      <c r="K63" s="12"/>
      <c r="L63" s="12"/>
      <c r="M63" s="16"/>
      <c r="N63" s="12"/>
      <c r="O63" s="17"/>
      <c r="P63" s="16"/>
      <c r="Q63" s="12"/>
      <c r="R63" s="15"/>
      <c r="S63" s="16" t="str">
        <f aca="false">IF(B63="","",IF(M63="Desestimada","Cerrado - desestimada",IF(AND(M63="Aplicada",OR(P63="Pagada",P63="Incluida en expensas")),"Cerrado - multa cobrada",IF(M63="Aplicada","Multa aplicada - impaga",IF(L63&lt;&gt;"","Descargo respondido - a resolver",IF(J63="Sí","Esperando respuesta descargo","Pendiente enviar descargo"))))))</f>
        <v/>
      </c>
      <c r="T63" s="18" t="str">
        <f aca="true">IF(B63="","",TODAY()-B63)</f>
        <v/>
      </c>
    </row>
    <row r="64" customFormat="false" ht="15" hidden="false" customHeight="false" outlineLevel="0" collapsed="false">
      <c r="A64" s="11" t="str">
        <f aca="false">IF(B64="","",ROW()-3)</f>
        <v/>
      </c>
      <c r="B64" s="12"/>
      <c r="C64" s="13"/>
      <c r="D64" s="14"/>
      <c r="E64" s="11"/>
      <c r="F64" s="15"/>
      <c r="G64" s="14"/>
      <c r="H64" s="15"/>
      <c r="I64" s="15"/>
      <c r="J64" s="16"/>
      <c r="K64" s="12"/>
      <c r="L64" s="12"/>
      <c r="M64" s="16"/>
      <c r="N64" s="12"/>
      <c r="O64" s="17"/>
      <c r="P64" s="16"/>
      <c r="Q64" s="12"/>
      <c r="R64" s="15"/>
      <c r="S64" s="16" t="str">
        <f aca="false">IF(B64="","",IF(M64="Desestimada","Cerrado - desestimada",IF(AND(M64="Aplicada",OR(P64="Pagada",P64="Incluida en expensas")),"Cerrado - multa cobrada",IF(M64="Aplicada","Multa aplicada - impaga",IF(L64&lt;&gt;"","Descargo respondido - a resolver",IF(J64="Sí","Esperando respuesta descargo","Pendiente enviar descargo"))))))</f>
        <v/>
      </c>
      <c r="T64" s="18" t="str">
        <f aca="true">IF(B64="","",TODAY()-B64)</f>
        <v/>
      </c>
    </row>
    <row r="65" customFormat="false" ht="15" hidden="false" customHeight="false" outlineLevel="0" collapsed="false">
      <c r="A65" s="11" t="str">
        <f aca="false">IF(B65="","",ROW()-3)</f>
        <v/>
      </c>
      <c r="B65" s="12"/>
      <c r="C65" s="13"/>
      <c r="D65" s="14"/>
      <c r="E65" s="11"/>
      <c r="F65" s="15"/>
      <c r="G65" s="14"/>
      <c r="H65" s="15"/>
      <c r="I65" s="15"/>
      <c r="J65" s="16"/>
      <c r="K65" s="12"/>
      <c r="L65" s="12"/>
      <c r="M65" s="16"/>
      <c r="N65" s="12"/>
      <c r="O65" s="17"/>
      <c r="P65" s="16"/>
      <c r="Q65" s="12"/>
      <c r="R65" s="15"/>
      <c r="S65" s="16" t="str">
        <f aca="false">IF(B65="","",IF(M65="Desestimada","Cerrado - desestimada",IF(AND(M65="Aplicada",OR(P65="Pagada",P65="Incluida en expensas")),"Cerrado - multa cobrada",IF(M65="Aplicada","Multa aplicada - impaga",IF(L65&lt;&gt;"","Descargo respondido - a resolver",IF(J65="Sí","Esperando respuesta descargo","Pendiente enviar descargo"))))))</f>
        <v/>
      </c>
      <c r="T65" s="18" t="str">
        <f aca="true">IF(B65="","",TODAY()-B65)</f>
        <v/>
      </c>
    </row>
    <row r="66" customFormat="false" ht="15" hidden="false" customHeight="false" outlineLevel="0" collapsed="false">
      <c r="A66" s="11" t="str">
        <f aca="false">IF(B66="","",ROW()-3)</f>
        <v/>
      </c>
      <c r="B66" s="12"/>
      <c r="C66" s="13"/>
      <c r="D66" s="14"/>
      <c r="E66" s="11"/>
      <c r="F66" s="15"/>
      <c r="G66" s="14"/>
      <c r="H66" s="15"/>
      <c r="I66" s="15"/>
      <c r="J66" s="16"/>
      <c r="K66" s="12"/>
      <c r="L66" s="12"/>
      <c r="M66" s="16"/>
      <c r="N66" s="12"/>
      <c r="O66" s="17"/>
      <c r="P66" s="16"/>
      <c r="Q66" s="12"/>
      <c r="R66" s="15"/>
      <c r="S66" s="16" t="str">
        <f aca="false">IF(B66="","",IF(M66="Desestimada","Cerrado - desestimada",IF(AND(M66="Aplicada",OR(P66="Pagada",P66="Incluida en expensas")),"Cerrado - multa cobrada",IF(M66="Aplicada","Multa aplicada - impaga",IF(L66&lt;&gt;"","Descargo respondido - a resolver",IF(J66="Sí","Esperando respuesta descargo","Pendiente enviar descargo"))))))</f>
        <v/>
      </c>
      <c r="T66" s="18" t="str">
        <f aca="true">IF(B66="","",TODAY()-B66)</f>
        <v/>
      </c>
    </row>
    <row r="67" customFormat="false" ht="15" hidden="false" customHeight="false" outlineLevel="0" collapsed="false">
      <c r="A67" s="11" t="str">
        <f aca="false">IF(B67="","",ROW()-3)</f>
        <v/>
      </c>
      <c r="B67" s="12"/>
      <c r="C67" s="13"/>
      <c r="D67" s="14"/>
      <c r="E67" s="11"/>
      <c r="F67" s="15"/>
      <c r="G67" s="14"/>
      <c r="H67" s="15"/>
      <c r="I67" s="15"/>
      <c r="J67" s="16"/>
      <c r="K67" s="12"/>
      <c r="L67" s="12"/>
      <c r="M67" s="16"/>
      <c r="N67" s="12"/>
      <c r="O67" s="17"/>
      <c r="P67" s="16"/>
      <c r="Q67" s="12"/>
      <c r="R67" s="15"/>
      <c r="S67" s="16" t="str">
        <f aca="false">IF(B67="","",IF(M67="Desestimada","Cerrado - desestimada",IF(AND(M67="Aplicada",OR(P67="Pagada",P67="Incluida en expensas")),"Cerrado - multa cobrada",IF(M67="Aplicada","Multa aplicada - impaga",IF(L67&lt;&gt;"","Descargo respondido - a resolver",IF(J67="Sí","Esperando respuesta descargo","Pendiente enviar descargo"))))))</f>
        <v/>
      </c>
      <c r="T67" s="18" t="str">
        <f aca="true">IF(B67="","",TODAY()-B67)</f>
        <v/>
      </c>
    </row>
    <row r="68" customFormat="false" ht="15" hidden="false" customHeight="false" outlineLevel="0" collapsed="false">
      <c r="A68" s="11" t="str">
        <f aca="false">IF(B68="","",ROW()-3)</f>
        <v/>
      </c>
      <c r="B68" s="12"/>
      <c r="C68" s="13"/>
      <c r="D68" s="14"/>
      <c r="E68" s="11"/>
      <c r="F68" s="15"/>
      <c r="G68" s="14"/>
      <c r="H68" s="15"/>
      <c r="I68" s="15"/>
      <c r="J68" s="16"/>
      <c r="K68" s="12"/>
      <c r="L68" s="12"/>
      <c r="M68" s="16"/>
      <c r="N68" s="12"/>
      <c r="O68" s="17"/>
      <c r="P68" s="16"/>
      <c r="Q68" s="12"/>
      <c r="R68" s="15"/>
      <c r="S68" s="16" t="str">
        <f aca="false">IF(B68="","",IF(M68="Desestimada","Cerrado - desestimada",IF(AND(M68="Aplicada",OR(P68="Pagada",P68="Incluida en expensas")),"Cerrado - multa cobrada",IF(M68="Aplicada","Multa aplicada - impaga",IF(L68&lt;&gt;"","Descargo respondido - a resolver",IF(J68="Sí","Esperando respuesta descargo","Pendiente enviar descargo"))))))</f>
        <v/>
      </c>
      <c r="T68" s="18" t="str">
        <f aca="true">IF(B68="","",TODAY()-B68)</f>
        <v/>
      </c>
    </row>
    <row r="69" customFormat="false" ht="15" hidden="false" customHeight="false" outlineLevel="0" collapsed="false">
      <c r="A69" s="11" t="str">
        <f aca="false">IF(B69="","",ROW()-3)</f>
        <v/>
      </c>
      <c r="B69" s="12"/>
      <c r="C69" s="13"/>
      <c r="D69" s="14"/>
      <c r="E69" s="11"/>
      <c r="F69" s="15"/>
      <c r="G69" s="14"/>
      <c r="H69" s="15"/>
      <c r="I69" s="15"/>
      <c r="J69" s="16"/>
      <c r="K69" s="12"/>
      <c r="L69" s="12"/>
      <c r="M69" s="16"/>
      <c r="N69" s="12"/>
      <c r="O69" s="17"/>
      <c r="P69" s="16"/>
      <c r="Q69" s="12"/>
      <c r="R69" s="15"/>
      <c r="S69" s="16" t="str">
        <f aca="false">IF(B69="","",IF(M69="Desestimada","Cerrado - desestimada",IF(AND(M69="Aplicada",OR(P69="Pagada",P69="Incluida en expensas")),"Cerrado - multa cobrada",IF(M69="Aplicada","Multa aplicada - impaga",IF(L69&lt;&gt;"","Descargo respondido - a resolver",IF(J69="Sí","Esperando respuesta descargo","Pendiente enviar descargo"))))))</f>
        <v/>
      </c>
      <c r="T69" s="18" t="str">
        <f aca="true">IF(B69="","",TODAY()-B69)</f>
        <v/>
      </c>
    </row>
    <row r="70" customFormat="false" ht="15" hidden="false" customHeight="false" outlineLevel="0" collapsed="false">
      <c r="A70" s="11" t="str">
        <f aca="false">IF(B70="","",ROW()-3)</f>
        <v/>
      </c>
      <c r="B70" s="12"/>
      <c r="C70" s="13"/>
      <c r="D70" s="14"/>
      <c r="E70" s="11"/>
      <c r="F70" s="15"/>
      <c r="G70" s="14"/>
      <c r="H70" s="15"/>
      <c r="I70" s="15"/>
      <c r="J70" s="16"/>
      <c r="K70" s="12"/>
      <c r="L70" s="12"/>
      <c r="M70" s="16"/>
      <c r="N70" s="12"/>
      <c r="O70" s="17"/>
      <c r="P70" s="16"/>
      <c r="Q70" s="12"/>
      <c r="R70" s="15"/>
      <c r="S70" s="16" t="str">
        <f aca="false">IF(B70="","",IF(M70="Desestimada","Cerrado - desestimada",IF(AND(M70="Aplicada",OR(P70="Pagada",P70="Incluida en expensas")),"Cerrado - multa cobrada",IF(M70="Aplicada","Multa aplicada - impaga",IF(L70&lt;&gt;"","Descargo respondido - a resolver",IF(J70="Sí","Esperando respuesta descargo","Pendiente enviar descargo"))))))</f>
        <v/>
      </c>
      <c r="T70" s="18" t="str">
        <f aca="true">IF(B70="","",TODAY()-B70)</f>
        <v/>
      </c>
    </row>
    <row r="71" customFormat="false" ht="15" hidden="false" customHeight="false" outlineLevel="0" collapsed="false">
      <c r="A71" s="11" t="str">
        <f aca="false">IF(B71="","",ROW()-3)</f>
        <v/>
      </c>
      <c r="B71" s="12"/>
      <c r="C71" s="13"/>
      <c r="D71" s="14"/>
      <c r="E71" s="11"/>
      <c r="F71" s="15"/>
      <c r="G71" s="14"/>
      <c r="H71" s="15"/>
      <c r="I71" s="15"/>
      <c r="J71" s="16"/>
      <c r="K71" s="12"/>
      <c r="L71" s="12"/>
      <c r="M71" s="16"/>
      <c r="N71" s="12"/>
      <c r="O71" s="17"/>
      <c r="P71" s="16"/>
      <c r="Q71" s="12"/>
      <c r="R71" s="15"/>
      <c r="S71" s="16" t="str">
        <f aca="false">IF(B71="","",IF(M71="Desestimada","Cerrado - desestimada",IF(AND(M71="Aplicada",OR(P71="Pagada",P71="Incluida en expensas")),"Cerrado - multa cobrada",IF(M71="Aplicada","Multa aplicada - impaga",IF(L71&lt;&gt;"","Descargo respondido - a resolver",IF(J71="Sí","Esperando respuesta descargo","Pendiente enviar descargo"))))))</f>
        <v/>
      </c>
      <c r="T71" s="18" t="str">
        <f aca="true">IF(B71="","",TODAY()-B71)</f>
        <v/>
      </c>
    </row>
    <row r="72" customFormat="false" ht="15" hidden="false" customHeight="false" outlineLevel="0" collapsed="false">
      <c r="A72" s="11" t="str">
        <f aca="false">IF(B72="","",ROW()-3)</f>
        <v/>
      </c>
      <c r="B72" s="12"/>
      <c r="C72" s="13"/>
      <c r="D72" s="14"/>
      <c r="E72" s="11"/>
      <c r="F72" s="15"/>
      <c r="G72" s="14"/>
      <c r="H72" s="15"/>
      <c r="I72" s="15"/>
      <c r="J72" s="16"/>
      <c r="K72" s="12"/>
      <c r="L72" s="12"/>
      <c r="M72" s="16"/>
      <c r="N72" s="12"/>
      <c r="O72" s="17"/>
      <c r="P72" s="16"/>
      <c r="Q72" s="12"/>
      <c r="R72" s="15"/>
      <c r="S72" s="16" t="str">
        <f aca="false">IF(B72="","",IF(M72="Desestimada","Cerrado - desestimada",IF(AND(M72="Aplicada",OR(P72="Pagada",P72="Incluida en expensas")),"Cerrado - multa cobrada",IF(M72="Aplicada","Multa aplicada - impaga",IF(L72&lt;&gt;"","Descargo respondido - a resolver",IF(J72="Sí","Esperando respuesta descargo","Pendiente enviar descargo"))))))</f>
        <v/>
      </c>
      <c r="T72" s="18" t="str">
        <f aca="true">IF(B72="","",TODAY()-B72)</f>
        <v/>
      </c>
    </row>
    <row r="73" customFormat="false" ht="15" hidden="false" customHeight="false" outlineLevel="0" collapsed="false">
      <c r="A73" s="11" t="str">
        <f aca="false">IF(B73="","",ROW()-3)</f>
        <v/>
      </c>
      <c r="B73" s="12"/>
      <c r="C73" s="13"/>
      <c r="D73" s="14"/>
      <c r="E73" s="11"/>
      <c r="F73" s="15"/>
      <c r="G73" s="14"/>
      <c r="H73" s="15"/>
      <c r="I73" s="15"/>
      <c r="J73" s="16"/>
      <c r="K73" s="12"/>
      <c r="L73" s="12"/>
      <c r="M73" s="16"/>
      <c r="N73" s="12"/>
      <c r="O73" s="17"/>
      <c r="P73" s="16"/>
      <c r="Q73" s="12"/>
      <c r="R73" s="15"/>
      <c r="S73" s="16" t="str">
        <f aca="false">IF(B73="","",IF(M73="Desestimada","Cerrado - desestimada",IF(AND(M73="Aplicada",OR(P73="Pagada",P73="Incluida en expensas")),"Cerrado - multa cobrada",IF(M73="Aplicada","Multa aplicada - impaga",IF(L73&lt;&gt;"","Descargo respondido - a resolver",IF(J73="Sí","Esperando respuesta descargo","Pendiente enviar descargo"))))))</f>
        <v/>
      </c>
      <c r="T73" s="18" t="str">
        <f aca="true">IF(B73="","",TODAY()-B73)</f>
        <v/>
      </c>
    </row>
    <row r="74" customFormat="false" ht="15" hidden="false" customHeight="false" outlineLevel="0" collapsed="false">
      <c r="A74" s="11" t="str">
        <f aca="false">IF(B74="","",ROW()-3)</f>
        <v/>
      </c>
      <c r="B74" s="12"/>
      <c r="C74" s="13"/>
      <c r="D74" s="14"/>
      <c r="E74" s="11"/>
      <c r="F74" s="15"/>
      <c r="G74" s="14"/>
      <c r="H74" s="15"/>
      <c r="I74" s="15"/>
      <c r="J74" s="16"/>
      <c r="K74" s="12"/>
      <c r="L74" s="12"/>
      <c r="M74" s="16"/>
      <c r="N74" s="12"/>
      <c r="O74" s="17"/>
      <c r="P74" s="16"/>
      <c r="Q74" s="12"/>
      <c r="R74" s="15"/>
      <c r="S74" s="16" t="str">
        <f aca="false">IF(B74="","",IF(M74="Desestimada","Cerrado - desestimada",IF(AND(M74="Aplicada",OR(P74="Pagada",P74="Incluida en expensas")),"Cerrado - multa cobrada",IF(M74="Aplicada","Multa aplicada - impaga",IF(L74&lt;&gt;"","Descargo respondido - a resolver",IF(J74="Sí","Esperando respuesta descargo","Pendiente enviar descargo"))))))</f>
        <v/>
      </c>
      <c r="T74" s="18" t="str">
        <f aca="true">IF(B74="","",TODAY()-B74)</f>
        <v/>
      </c>
    </row>
    <row r="75" customFormat="false" ht="15" hidden="false" customHeight="false" outlineLevel="0" collapsed="false">
      <c r="A75" s="11" t="str">
        <f aca="false">IF(B75="","",ROW()-3)</f>
        <v/>
      </c>
      <c r="B75" s="12"/>
      <c r="C75" s="13"/>
      <c r="D75" s="14"/>
      <c r="E75" s="11"/>
      <c r="F75" s="15"/>
      <c r="G75" s="14"/>
      <c r="H75" s="15"/>
      <c r="I75" s="15"/>
      <c r="J75" s="16"/>
      <c r="K75" s="12"/>
      <c r="L75" s="12"/>
      <c r="M75" s="16"/>
      <c r="N75" s="12"/>
      <c r="O75" s="17"/>
      <c r="P75" s="16"/>
      <c r="Q75" s="12"/>
      <c r="R75" s="15"/>
      <c r="S75" s="16" t="str">
        <f aca="false">IF(B75="","",IF(M75="Desestimada","Cerrado - desestimada",IF(AND(M75="Aplicada",OR(P75="Pagada",P75="Incluida en expensas")),"Cerrado - multa cobrada",IF(M75="Aplicada","Multa aplicada - impaga",IF(L75&lt;&gt;"","Descargo respondido - a resolver",IF(J75="Sí","Esperando respuesta descargo","Pendiente enviar descargo"))))))</f>
        <v/>
      </c>
      <c r="T75" s="18" t="str">
        <f aca="true">IF(B75="","",TODAY()-B75)</f>
        <v/>
      </c>
    </row>
    <row r="76" customFormat="false" ht="15" hidden="false" customHeight="false" outlineLevel="0" collapsed="false">
      <c r="A76" s="11" t="str">
        <f aca="false">IF(B76="","",ROW()-3)</f>
        <v/>
      </c>
      <c r="B76" s="12"/>
      <c r="C76" s="13"/>
      <c r="D76" s="14"/>
      <c r="E76" s="11"/>
      <c r="F76" s="15"/>
      <c r="G76" s="14"/>
      <c r="H76" s="15"/>
      <c r="I76" s="15"/>
      <c r="J76" s="16"/>
      <c r="K76" s="12"/>
      <c r="L76" s="12"/>
      <c r="M76" s="16"/>
      <c r="N76" s="12"/>
      <c r="O76" s="17"/>
      <c r="P76" s="16"/>
      <c r="Q76" s="12"/>
      <c r="R76" s="15"/>
      <c r="S76" s="16" t="str">
        <f aca="false">IF(B76="","",IF(M76="Desestimada","Cerrado - desestimada",IF(AND(M76="Aplicada",OR(P76="Pagada",P76="Incluida en expensas")),"Cerrado - multa cobrada",IF(M76="Aplicada","Multa aplicada - impaga",IF(L76&lt;&gt;"","Descargo respondido - a resolver",IF(J76="Sí","Esperando respuesta descargo","Pendiente enviar descargo"))))))</f>
        <v/>
      </c>
      <c r="T76" s="18" t="str">
        <f aca="true">IF(B76="","",TODAY()-B76)</f>
        <v/>
      </c>
    </row>
    <row r="77" customFormat="false" ht="15" hidden="false" customHeight="false" outlineLevel="0" collapsed="false">
      <c r="A77" s="11" t="str">
        <f aca="false">IF(B77="","",ROW()-3)</f>
        <v/>
      </c>
      <c r="B77" s="12"/>
      <c r="C77" s="13"/>
      <c r="D77" s="14"/>
      <c r="E77" s="11"/>
      <c r="F77" s="15"/>
      <c r="G77" s="14"/>
      <c r="H77" s="15"/>
      <c r="I77" s="15"/>
      <c r="J77" s="16"/>
      <c r="K77" s="12"/>
      <c r="L77" s="12"/>
      <c r="M77" s="16"/>
      <c r="N77" s="12"/>
      <c r="O77" s="17"/>
      <c r="P77" s="16"/>
      <c r="Q77" s="12"/>
      <c r="R77" s="15"/>
      <c r="S77" s="16" t="str">
        <f aca="false">IF(B77="","",IF(M77="Desestimada","Cerrado - desestimada",IF(AND(M77="Aplicada",OR(P77="Pagada",P77="Incluida en expensas")),"Cerrado - multa cobrada",IF(M77="Aplicada","Multa aplicada - impaga",IF(L77&lt;&gt;"","Descargo respondido - a resolver",IF(J77="Sí","Esperando respuesta descargo","Pendiente enviar descargo"))))))</f>
        <v/>
      </c>
      <c r="T77" s="18" t="str">
        <f aca="true">IF(B77="","",TODAY()-B77)</f>
        <v/>
      </c>
    </row>
    <row r="78" customFormat="false" ht="15" hidden="false" customHeight="false" outlineLevel="0" collapsed="false">
      <c r="A78" s="11" t="str">
        <f aca="false">IF(B78="","",ROW()-3)</f>
        <v/>
      </c>
      <c r="B78" s="12"/>
      <c r="C78" s="13"/>
      <c r="D78" s="14"/>
      <c r="E78" s="11"/>
      <c r="F78" s="15"/>
      <c r="G78" s="14"/>
      <c r="H78" s="15"/>
      <c r="I78" s="15"/>
      <c r="J78" s="16"/>
      <c r="K78" s="12"/>
      <c r="L78" s="12"/>
      <c r="M78" s="16"/>
      <c r="N78" s="12"/>
      <c r="O78" s="17"/>
      <c r="P78" s="16"/>
      <c r="Q78" s="12"/>
      <c r="R78" s="15"/>
      <c r="S78" s="16" t="str">
        <f aca="false">IF(B78="","",IF(M78="Desestimada","Cerrado - desestimada",IF(AND(M78="Aplicada",OR(P78="Pagada",P78="Incluida en expensas")),"Cerrado - multa cobrada",IF(M78="Aplicada","Multa aplicada - impaga",IF(L78&lt;&gt;"","Descargo respondido - a resolver",IF(J78="Sí","Esperando respuesta descargo","Pendiente enviar descargo"))))))</f>
        <v/>
      </c>
      <c r="T78" s="18" t="str">
        <f aca="true">IF(B78="","",TODAY()-B78)</f>
        <v/>
      </c>
    </row>
    <row r="79" customFormat="false" ht="15" hidden="false" customHeight="false" outlineLevel="0" collapsed="false">
      <c r="A79" s="11" t="str">
        <f aca="false">IF(B79="","",ROW()-3)</f>
        <v/>
      </c>
      <c r="B79" s="12"/>
      <c r="C79" s="13"/>
      <c r="D79" s="14"/>
      <c r="E79" s="11"/>
      <c r="F79" s="15"/>
      <c r="G79" s="14"/>
      <c r="H79" s="15"/>
      <c r="I79" s="15"/>
      <c r="J79" s="16"/>
      <c r="K79" s="12"/>
      <c r="L79" s="12"/>
      <c r="M79" s="16"/>
      <c r="N79" s="12"/>
      <c r="O79" s="17"/>
      <c r="P79" s="16"/>
      <c r="Q79" s="12"/>
      <c r="R79" s="15"/>
      <c r="S79" s="16" t="str">
        <f aca="false">IF(B79="","",IF(M79="Desestimada","Cerrado - desestimada",IF(AND(M79="Aplicada",OR(P79="Pagada",P79="Incluida en expensas")),"Cerrado - multa cobrada",IF(M79="Aplicada","Multa aplicada - impaga",IF(L79&lt;&gt;"","Descargo respondido - a resolver",IF(J79="Sí","Esperando respuesta descargo","Pendiente enviar descargo"))))))</f>
        <v/>
      </c>
      <c r="T79" s="18" t="str">
        <f aca="true">IF(B79="","",TODAY()-B79)</f>
        <v/>
      </c>
    </row>
    <row r="80" customFormat="false" ht="15" hidden="false" customHeight="false" outlineLevel="0" collapsed="false">
      <c r="A80" s="11" t="str">
        <f aca="false">IF(B80="","",ROW()-3)</f>
        <v/>
      </c>
      <c r="B80" s="12"/>
      <c r="C80" s="13"/>
      <c r="D80" s="14"/>
      <c r="E80" s="11"/>
      <c r="F80" s="15"/>
      <c r="G80" s="14"/>
      <c r="H80" s="15"/>
      <c r="I80" s="15"/>
      <c r="J80" s="16"/>
      <c r="K80" s="12"/>
      <c r="L80" s="12"/>
      <c r="M80" s="16"/>
      <c r="N80" s="12"/>
      <c r="O80" s="17"/>
      <c r="P80" s="16"/>
      <c r="Q80" s="12"/>
      <c r="R80" s="15"/>
      <c r="S80" s="16" t="str">
        <f aca="false">IF(B80="","",IF(M80="Desestimada","Cerrado - desestimada",IF(AND(M80="Aplicada",OR(P80="Pagada",P80="Incluida en expensas")),"Cerrado - multa cobrada",IF(M80="Aplicada","Multa aplicada - impaga",IF(L80&lt;&gt;"","Descargo respondido - a resolver",IF(J80="Sí","Esperando respuesta descargo","Pendiente enviar descargo"))))))</f>
        <v/>
      </c>
      <c r="T80" s="18" t="str">
        <f aca="true">IF(B80="","",TODAY()-B80)</f>
        <v/>
      </c>
    </row>
    <row r="81" customFormat="false" ht="15" hidden="false" customHeight="false" outlineLevel="0" collapsed="false">
      <c r="A81" s="11" t="str">
        <f aca="false">IF(B81="","",ROW()-3)</f>
        <v/>
      </c>
      <c r="B81" s="12"/>
      <c r="C81" s="13"/>
      <c r="D81" s="14"/>
      <c r="E81" s="11"/>
      <c r="F81" s="15"/>
      <c r="G81" s="14"/>
      <c r="H81" s="15"/>
      <c r="I81" s="15"/>
      <c r="J81" s="16"/>
      <c r="K81" s="12"/>
      <c r="L81" s="12"/>
      <c r="M81" s="16"/>
      <c r="N81" s="12"/>
      <c r="O81" s="17"/>
      <c r="P81" s="16"/>
      <c r="Q81" s="12"/>
      <c r="R81" s="15"/>
      <c r="S81" s="16" t="str">
        <f aca="false">IF(B81="","",IF(M81="Desestimada","Cerrado - desestimada",IF(AND(M81="Aplicada",OR(P81="Pagada",P81="Incluida en expensas")),"Cerrado - multa cobrada",IF(M81="Aplicada","Multa aplicada - impaga",IF(L81&lt;&gt;"","Descargo respondido - a resolver",IF(J81="Sí","Esperando respuesta descargo","Pendiente enviar descargo"))))))</f>
        <v/>
      </c>
      <c r="T81" s="18" t="str">
        <f aca="true">IF(B81="","",TODAY()-B81)</f>
        <v/>
      </c>
    </row>
    <row r="82" customFormat="false" ht="15" hidden="false" customHeight="false" outlineLevel="0" collapsed="false">
      <c r="A82" s="11" t="str">
        <f aca="false">IF(B82="","",ROW()-3)</f>
        <v/>
      </c>
      <c r="B82" s="12"/>
      <c r="C82" s="13"/>
      <c r="D82" s="14"/>
      <c r="E82" s="11"/>
      <c r="F82" s="15"/>
      <c r="G82" s="14"/>
      <c r="H82" s="15"/>
      <c r="I82" s="15"/>
      <c r="J82" s="16"/>
      <c r="K82" s="12"/>
      <c r="L82" s="12"/>
      <c r="M82" s="16"/>
      <c r="N82" s="12"/>
      <c r="O82" s="17"/>
      <c r="P82" s="16"/>
      <c r="Q82" s="12"/>
      <c r="R82" s="15"/>
      <c r="S82" s="16" t="str">
        <f aca="false">IF(B82="","",IF(M82="Desestimada","Cerrado - desestimada",IF(AND(M82="Aplicada",OR(P82="Pagada",P82="Incluida en expensas")),"Cerrado - multa cobrada",IF(M82="Aplicada","Multa aplicada - impaga",IF(L82&lt;&gt;"","Descargo respondido - a resolver",IF(J82="Sí","Esperando respuesta descargo","Pendiente enviar descargo"))))))</f>
        <v/>
      </c>
      <c r="T82" s="18" t="str">
        <f aca="true">IF(B82="","",TODAY()-B82)</f>
        <v/>
      </c>
    </row>
    <row r="83" customFormat="false" ht="15" hidden="false" customHeight="false" outlineLevel="0" collapsed="false">
      <c r="A83" s="11" t="str">
        <f aca="false">IF(B83="","",ROW()-3)</f>
        <v/>
      </c>
      <c r="B83" s="12"/>
      <c r="C83" s="13"/>
      <c r="D83" s="14"/>
      <c r="E83" s="11"/>
      <c r="F83" s="15"/>
      <c r="G83" s="14"/>
      <c r="H83" s="15"/>
      <c r="I83" s="15"/>
      <c r="J83" s="16"/>
      <c r="K83" s="12"/>
      <c r="L83" s="12"/>
      <c r="M83" s="16"/>
      <c r="N83" s="12"/>
      <c r="O83" s="17"/>
      <c r="P83" s="16"/>
      <c r="Q83" s="12"/>
      <c r="R83" s="15"/>
      <c r="S83" s="16" t="str">
        <f aca="false">IF(B83="","",IF(M83="Desestimada","Cerrado - desestimada",IF(AND(M83="Aplicada",OR(P83="Pagada",P83="Incluida en expensas")),"Cerrado - multa cobrada",IF(M83="Aplicada","Multa aplicada - impaga",IF(L83&lt;&gt;"","Descargo respondido - a resolver",IF(J83="Sí","Esperando respuesta descargo","Pendiente enviar descargo"))))))</f>
        <v/>
      </c>
      <c r="T83" s="18" t="str">
        <f aca="true">IF(B83="","",TODAY()-B83)</f>
        <v/>
      </c>
    </row>
    <row r="84" customFormat="false" ht="15" hidden="false" customHeight="false" outlineLevel="0" collapsed="false">
      <c r="A84" s="11" t="str">
        <f aca="false">IF(B84="","",ROW()-3)</f>
        <v/>
      </c>
      <c r="B84" s="12"/>
      <c r="C84" s="13"/>
      <c r="D84" s="14"/>
      <c r="E84" s="11"/>
      <c r="F84" s="15"/>
      <c r="G84" s="14"/>
      <c r="H84" s="15"/>
      <c r="I84" s="15"/>
      <c r="J84" s="16"/>
      <c r="K84" s="12"/>
      <c r="L84" s="12"/>
      <c r="M84" s="16"/>
      <c r="N84" s="12"/>
      <c r="O84" s="17"/>
      <c r="P84" s="16"/>
      <c r="Q84" s="12"/>
      <c r="R84" s="15"/>
      <c r="S84" s="16" t="str">
        <f aca="false">IF(B84="","",IF(M84="Desestimada","Cerrado - desestimada",IF(AND(M84="Aplicada",OR(P84="Pagada",P84="Incluida en expensas")),"Cerrado - multa cobrada",IF(M84="Aplicada","Multa aplicada - impaga",IF(L84&lt;&gt;"","Descargo respondido - a resolver",IF(J84="Sí","Esperando respuesta descargo","Pendiente enviar descargo"))))))</f>
        <v/>
      </c>
      <c r="T84" s="18" t="str">
        <f aca="true">IF(B84="","",TODAY()-B84)</f>
        <v/>
      </c>
    </row>
    <row r="85" customFormat="false" ht="15" hidden="false" customHeight="false" outlineLevel="0" collapsed="false">
      <c r="A85" s="11" t="str">
        <f aca="false">IF(B85="","",ROW()-3)</f>
        <v/>
      </c>
      <c r="B85" s="12"/>
      <c r="C85" s="13"/>
      <c r="D85" s="14"/>
      <c r="E85" s="11"/>
      <c r="F85" s="15"/>
      <c r="G85" s="14"/>
      <c r="H85" s="15"/>
      <c r="I85" s="15"/>
      <c r="J85" s="16"/>
      <c r="K85" s="12"/>
      <c r="L85" s="12"/>
      <c r="M85" s="16"/>
      <c r="N85" s="12"/>
      <c r="O85" s="17"/>
      <c r="P85" s="16"/>
      <c r="Q85" s="12"/>
      <c r="R85" s="15"/>
      <c r="S85" s="16" t="str">
        <f aca="false">IF(B85="","",IF(M85="Desestimada","Cerrado - desestimada",IF(AND(M85="Aplicada",OR(P85="Pagada",P85="Incluida en expensas")),"Cerrado - multa cobrada",IF(M85="Aplicada","Multa aplicada - impaga",IF(L85&lt;&gt;"","Descargo respondido - a resolver",IF(J85="Sí","Esperando respuesta descargo","Pendiente enviar descargo"))))))</f>
        <v/>
      </c>
      <c r="T85" s="18" t="str">
        <f aca="true">IF(B85="","",TODAY()-B85)</f>
        <v/>
      </c>
    </row>
    <row r="86" customFormat="false" ht="15" hidden="false" customHeight="false" outlineLevel="0" collapsed="false">
      <c r="A86" s="11" t="str">
        <f aca="false">IF(B86="","",ROW()-3)</f>
        <v/>
      </c>
      <c r="B86" s="12"/>
      <c r="C86" s="13"/>
      <c r="D86" s="14"/>
      <c r="E86" s="11"/>
      <c r="F86" s="15"/>
      <c r="G86" s="14"/>
      <c r="H86" s="15"/>
      <c r="I86" s="15"/>
      <c r="J86" s="16"/>
      <c r="K86" s="12"/>
      <c r="L86" s="12"/>
      <c r="M86" s="16"/>
      <c r="N86" s="12"/>
      <c r="O86" s="17"/>
      <c r="P86" s="16"/>
      <c r="Q86" s="12"/>
      <c r="R86" s="15"/>
      <c r="S86" s="16" t="str">
        <f aca="false">IF(B86="","",IF(M86="Desestimada","Cerrado - desestimada",IF(AND(M86="Aplicada",OR(P86="Pagada",P86="Incluida en expensas")),"Cerrado - multa cobrada",IF(M86="Aplicada","Multa aplicada - impaga",IF(L86&lt;&gt;"","Descargo respondido - a resolver",IF(J86="Sí","Esperando respuesta descargo","Pendiente enviar descargo"))))))</f>
        <v/>
      </c>
      <c r="T86" s="18" t="str">
        <f aca="true">IF(B86="","",TODAY()-B86)</f>
        <v/>
      </c>
    </row>
    <row r="87" customFormat="false" ht="15" hidden="false" customHeight="false" outlineLevel="0" collapsed="false">
      <c r="A87" s="11" t="str">
        <f aca="false">IF(B87="","",ROW()-3)</f>
        <v/>
      </c>
      <c r="B87" s="12"/>
      <c r="C87" s="13"/>
      <c r="D87" s="14"/>
      <c r="E87" s="11"/>
      <c r="F87" s="15"/>
      <c r="G87" s="14"/>
      <c r="H87" s="15"/>
      <c r="I87" s="15"/>
      <c r="J87" s="16"/>
      <c r="K87" s="12"/>
      <c r="L87" s="12"/>
      <c r="M87" s="16"/>
      <c r="N87" s="12"/>
      <c r="O87" s="17"/>
      <c r="P87" s="16"/>
      <c r="Q87" s="12"/>
      <c r="R87" s="15"/>
      <c r="S87" s="16" t="str">
        <f aca="false">IF(B87="","",IF(M87="Desestimada","Cerrado - desestimada",IF(AND(M87="Aplicada",OR(P87="Pagada",P87="Incluida en expensas")),"Cerrado - multa cobrada",IF(M87="Aplicada","Multa aplicada - impaga",IF(L87&lt;&gt;"","Descargo respondido - a resolver",IF(J87="Sí","Esperando respuesta descargo","Pendiente enviar descargo"))))))</f>
        <v/>
      </c>
      <c r="T87" s="18" t="str">
        <f aca="true">IF(B87="","",TODAY()-B87)</f>
        <v/>
      </c>
    </row>
    <row r="88" customFormat="false" ht="15" hidden="false" customHeight="false" outlineLevel="0" collapsed="false">
      <c r="A88" s="11" t="str">
        <f aca="false">IF(B88="","",ROW()-3)</f>
        <v/>
      </c>
      <c r="B88" s="12"/>
      <c r="C88" s="13"/>
      <c r="D88" s="14"/>
      <c r="E88" s="11"/>
      <c r="F88" s="15"/>
      <c r="G88" s="14"/>
      <c r="H88" s="15"/>
      <c r="I88" s="15"/>
      <c r="J88" s="16"/>
      <c r="K88" s="12"/>
      <c r="L88" s="12"/>
      <c r="M88" s="16"/>
      <c r="N88" s="12"/>
      <c r="O88" s="17"/>
      <c r="P88" s="16"/>
      <c r="Q88" s="12"/>
      <c r="R88" s="15"/>
      <c r="S88" s="16" t="str">
        <f aca="false">IF(B88="","",IF(M88="Desestimada","Cerrado - desestimada",IF(AND(M88="Aplicada",OR(P88="Pagada",P88="Incluida en expensas")),"Cerrado - multa cobrada",IF(M88="Aplicada","Multa aplicada - impaga",IF(L88&lt;&gt;"","Descargo respondido - a resolver",IF(J88="Sí","Esperando respuesta descargo","Pendiente enviar descargo"))))))</f>
        <v/>
      </c>
      <c r="T88" s="18" t="str">
        <f aca="true">IF(B88="","",TODAY()-B88)</f>
        <v/>
      </c>
    </row>
    <row r="89" customFormat="false" ht="15" hidden="false" customHeight="false" outlineLevel="0" collapsed="false">
      <c r="A89" s="11" t="str">
        <f aca="false">IF(B89="","",ROW()-3)</f>
        <v/>
      </c>
      <c r="B89" s="12"/>
      <c r="C89" s="13"/>
      <c r="D89" s="14"/>
      <c r="E89" s="11"/>
      <c r="F89" s="15"/>
      <c r="G89" s="14"/>
      <c r="H89" s="15"/>
      <c r="I89" s="15"/>
      <c r="J89" s="16"/>
      <c r="K89" s="12"/>
      <c r="L89" s="12"/>
      <c r="M89" s="16"/>
      <c r="N89" s="12"/>
      <c r="O89" s="17"/>
      <c r="P89" s="16"/>
      <c r="Q89" s="12"/>
      <c r="R89" s="15"/>
      <c r="S89" s="16" t="str">
        <f aca="false">IF(B89="","",IF(M89="Desestimada","Cerrado - desestimada",IF(AND(M89="Aplicada",OR(P89="Pagada",P89="Incluida en expensas")),"Cerrado - multa cobrada",IF(M89="Aplicada","Multa aplicada - impaga",IF(L89&lt;&gt;"","Descargo respondido - a resolver",IF(J89="Sí","Esperando respuesta descargo","Pendiente enviar descargo"))))))</f>
        <v/>
      </c>
      <c r="T89" s="18" t="str">
        <f aca="true">IF(B89="","",TODAY()-B89)</f>
        <v/>
      </c>
    </row>
    <row r="90" customFormat="false" ht="15" hidden="false" customHeight="false" outlineLevel="0" collapsed="false">
      <c r="A90" s="11" t="str">
        <f aca="false">IF(B90="","",ROW()-3)</f>
        <v/>
      </c>
      <c r="B90" s="12"/>
      <c r="C90" s="13"/>
      <c r="D90" s="14"/>
      <c r="E90" s="11"/>
      <c r="F90" s="15"/>
      <c r="G90" s="14"/>
      <c r="H90" s="15"/>
      <c r="I90" s="15"/>
      <c r="J90" s="16"/>
      <c r="K90" s="12"/>
      <c r="L90" s="12"/>
      <c r="M90" s="16"/>
      <c r="N90" s="12"/>
      <c r="O90" s="17"/>
      <c r="P90" s="16"/>
      <c r="Q90" s="12"/>
      <c r="R90" s="15"/>
      <c r="S90" s="16" t="str">
        <f aca="false">IF(B90="","",IF(M90="Desestimada","Cerrado - desestimada",IF(AND(M90="Aplicada",OR(P90="Pagada",P90="Incluida en expensas")),"Cerrado - multa cobrada",IF(M90="Aplicada","Multa aplicada - impaga",IF(L90&lt;&gt;"","Descargo respondido - a resolver",IF(J90="Sí","Esperando respuesta descargo","Pendiente enviar descargo"))))))</f>
        <v/>
      </c>
      <c r="T90" s="18" t="str">
        <f aca="true">IF(B90="","",TODAY()-B90)</f>
        <v/>
      </c>
    </row>
    <row r="91" customFormat="false" ht="15" hidden="false" customHeight="false" outlineLevel="0" collapsed="false">
      <c r="A91" s="11" t="str">
        <f aca="false">IF(B91="","",ROW()-3)</f>
        <v/>
      </c>
      <c r="B91" s="12"/>
      <c r="C91" s="13"/>
      <c r="D91" s="14"/>
      <c r="E91" s="11"/>
      <c r="F91" s="15"/>
      <c r="G91" s="14"/>
      <c r="H91" s="15"/>
      <c r="I91" s="15"/>
      <c r="J91" s="16"/>
      <c r="K91" s="12"/>
      <c r="L91" s="12"/>
      <c r="M91" s="16"/>
      <c r="N91" s="12"/>
      <c r="O91" s="17"/>
      <c r="P91" s="16"/>
      <c r="Q91" s="12"/>
      <c r="R91" s="15"/>
      <c r="S91" s="16" t="str">
        <f aca="false">IF(B91="","",IF(M91="Desestimada","Cerrado - desestimada",IF(AND(M91="Aplicada",OR(P91="Pagada",P91="Incluida en expensas")),"Cerrado - multa cobrada",IF(M91="Aplicada","Multa aplicada - impaga",IF(L91&lt;&gt;"","Descargo respondido - a resolver",IF(J91="Sí","Esperando respuesta descargo","Pendiente enviar descargo"))))))</f>
        <v/>
      </c>
      <c r="T91" s="18" t="str">
        <f aca="true">IF(B91="","",TODAY()-B91)</f>
        <v/>
      </c>
    </row>
    <row r="92" customFormat="false" ht="15" hidden="false" customHeight="false" outlineLevel="0" collapsed="false">
      <c r="A92" s="11" t="str">
        <f aca="false">IF(B92="","",ROW()-3)</f>
        <v/>
      </c>
      <c r="B92" s="12"/>
      <c r="C92" s="13"/>
      <c r="D92" s="14"/>
      <c r="E92" s="11"/>
      <c r="F92" s="15"/>
      <c r="G92" s="14"/>
      <c r="H92" s="15"/>
      <c r="I92" s="15"/>
      <c r="J92" s="16"/>
      <c r="K92" s="12"/>
      <c r="L92" s="12"/>
      <c r="M92" s="16"/>
      <c r="N92" s="12"/>
      <c r="O92" s="17"/>
      <c r="P92" s="16"/>
      <c r="Q92" s="12"/>
      <c r="R92" s="15"/>
      <c r="S92" s="16" t="str">
        <f aca="false">IF(B92="","",IF(M92="Desestimada","Cerrado - desestimada",IF(AND(M92="Aplicada",OR(P92="Pagada",P92="Incluida en expensas")),"Cerrado - multa cobrada",IF(M92="Aplicada","Multa aplicada - impaga",IF(L92&lt;&gt;"","Descargo respondido - a resolver",IF(J92="Sí","Esperando respuesta descargo","Pendiente enviar descargo"))))))</f>
        <v/>
      </c>
      <c r="T92" s="18" t="str">
        <f aca="true">IF(B92="","",TODAY()-B92)</f>
        <v/>
      </c>
    </row>
    <row r="93" customFormat="false" ht="15" hidden="false" customHeight="false" outlineLevel="0" collapsed="false">
      <c r="A93" s="11" t="str">
        <f aca="false">IF(B93="","",ROW()-3)</f>
        <v/>
      </c>
      <c r="B93" s="12"/>
      <c r="C93" s="13"/>
      <c r="D93" s="14"/>
      <c r="E93" s="11"/>
      <c r="F93" s="15"/>
      <c r="G93" s="14"/>
      <c r="H93" s="15"/>
      <c r="I93" s="15"/>
      <c r="J93" s="16"/>
      <c r="K93" s="12"/>
      <c r="L93" s="12"/>
      <c r="M93" s="16"/>
      <c r="N93" s="12"/>
      <c r="O93" s="17"/>
      <c r="P93" s="16"/>
      <c r="Q93" s="12"/>
      <c r="R93" s="15"/>
      <c r="S93" s="16" t="str">
        <f aca="false">IF(B93="","",IF(M93="Desestimada","Cerrado - desestimada",IF(AND(M93="Aplicada",OR(P93="Pagada",P93="Incluida en expensas")),"Cerrado - multa cobrada",IF(M93="Aplicada","Multa aplicada - impaga",IF(L93&lt;&gt;"","Descargo respondido - a resolver",IF(J93="Sí","Esperando respuesta descargo","Pendiente enviar descargo"))))))</f>
        <v/>
      </c>
      <c r="T93" s="18" t="str">
        <f aca="true">IF(B93="","",TODAY()-B93)</f>
        <v/>
      </c>
    </row>
    <row r="94" customFormat="false" ht="15" hidden="false" customHeight="false" outlineLevel="0" collapsed="false">
      <c r="A94" s="11" t="str">
        <f aca="false">IF(B94="","",ROW()-3)</f>
        <v/>
      </c>
      <c r="B94" s="12"/>
      <c r="C94" s="13"/>
      <c r="D94" s="14"/>
      <c r="E94" s="11"/>
      <c r="F94" s="15"/>
      <c r="G94" s="14"/>
      <c r="H94" s="15"/>
      <c r="I94" s="15"/>
      <c r="J94" s="16"/>
      <c r="K94" s="12"/>
      <c r="L94" s="12"/>
      <c r="M94" s="16"/>
      <c r="N94" s="12"/>
      <c r="O94" s="17"/>
      <c r="P94" s="16"/>
      <c r="Q94" s="12"/>
      <c r="R94" s="15"/>
      <c r="S94" s="16" t="str">
        <f aca="false">IF(B94="","",IF(M94="Desestimada","Cerrado - desestimada",IF(AND(M94="Aplicada",OR(P94="Pagada",P94="Incluida en expensas")),"Cerrado - multa cobrada",IF(M94="Aplicada","Multa aplicada - impaga",IF(L94&lt;&gt;"","Descargo respondido - a resolver",IF(J94="Sí","Esperando respuesta descargo","Pendiente enviar descargo"))))))</f>
        <v/>
      </c>
      <c r="T94" s="18" t="str">
        <f aca="true">IF(B94="","",TODAY()-B94)</f>
        <v/>
      </c>
    </row>
    <row r="95" customFormat="false" ht="15" hidden="false" customHeight="false" outlineLevel="0" collapsed="false">
      <c r="A95" s="11" t="str">
        <f aca="false">IF(B95="","",ROW()-3)</f>
        <v/>
      </c>
      <c r="B95" s="12"/>
      <c r="C95" s="13"/>
      <c r="D95" s="14"/>
      <c r="E95" s="11"/>
      <c r="F95" s="15"/>
      <c r="G95" s="14"/>
      <c r="H95" s="15"/>
      <c r="I95" s="15"/>
      <c r="J95" s="16"/>
      <c r="K95" s="12"/>
      <c r="L95" s="12"/>
      <c r="M95" s="16"/>
      <c r="N95" s="12"/>
      <c r="O95" s="17"/>
      <c r="P95" s="16"/>
      <c r="Q95" s="12"/>
      <c r="R95" s="15"/>
      <c r="S95" s="16" t="str">
        <f aca="false">IF(B95="","",IF(M95="Desestimada","Cerrado - desestimada",IF(AND(M95="Aplicada",OR(P95="Pagada",P95="Incluida en expensas")),"Cerrado - multa cobrada",IF(M95="Aplicada","Multa aplicada - impaga",IF(L95&lt;&gt;"","Descargo respondido - a resolver",IF(J95="Sí","Esperando respuesta descargo","Pendiente enviar descargo"))))))</f>
        <v/>
      </c>
      <c r="T95" s="18" t="str">
        <f aca="true">IF(B95="","",TODAY()-B95)</f>
        <v/>
      </c>
    </row>
    <row r="96" customFormat="false" ht="15" hidden="false" customHeight="false" outlineLevel="0" collapsed="false">
      <c r="A96" s="11" t="str">
        <f aca="false">IF(B96="","",ROW()-3)</f>
        <v/>
      </c>
      <c r="B96" s="12"/>
      <c r="C96" s="13"/>
      <c r="D96" s="14"/>
      <c r="E96" s="11"/>
      <c r="F96" s="15"/>
      <c r="G96" s="14"/>
      <c r="H96" s="15"/>
      <c r="I96" s="15"/>
      <c r="J96" s="16"/>
      <c r="K96" s="12"/>
      <c r="L96" s="12"/>
      <c r="M96" s="16"/>
      <c r="N96" s="12"/>
      <c r="O96" s="17"/>
      <c r="P96" s="16"/>
      <c r="Q96" s="12"/>
      <c r="R96" s="15"/>
      <c r="S96" s="16" t="str">
        <f aca="false">IF(B96="","",IF(M96="Desestimada","Cerrado - desestimada",IF(AND(M96="Aplicada",OR(P96="Pagada",P96="Incluida en expensas")),"Cerrado - multa cobrada",IF(M96="Aplicada","Multa aplicada - impaga",IF(L96&lt;&gt;"","Descargo respondido - a resolver",IF(J96="Sí","Esperando respuesta descargo","Pendiente enviar descargo"))))))</f>
        <v/>
      </c>
      <c r="T96" s="18" t="str">
        <f aca="true">IF(B96="","",TODAY()-B96)</f>
        <v/>
      </c>
    </row>
    <row r="97" customFormat="false" ht="15" hidden="false" customHeight="false" outlineLevel="0" collapsed="false">
      <c r="A97" s="11" t="str">
        <f aca="false">IF(B97="","",ROW()-3)</f>
        <v/>
      </c>
      <c r="B97" s="12"/>
      <c r="C97" s="13"/>
      <c r="D97" s="14"/>
      <c r="E97" s="11"/>
      <c r="F97" s="15"/>
      <c r="G97" s="14"/>
      <c r="H97" s="15"/>
      <c r="I97" s="15"/>
      <c r="J97" s="16"/>
      <c r="K97" s="12"/>
      <c r="L97" s="12"/>
      <c r="M97" s="16"/>
      <c r="N97" s="12"/>
      <c r="O97" s="17"/>
      <c r="P97" s="16"/>
      <c r="Q97" s="12"/>
      <c r="R97" s="15"/>
      <c r="S97" s="16" t="str">
        <f aca="false">IF(B97="","",IF(M97="Desestimada","Cerrado - desestimada",IF(AND(M97="Aplicada",OR(P97="Pagada",P97="Incluida en expensas")),"Cerrado - multa cobrada",IF(M97="Aplicada","Multa aplicada - impaga",IF(L97&lt;&gt;"","Descargo respondido - a resolver",IF(J97="Sí","Esperando respuesta descargo","Pendiente enviar descargo"))))))</f>
        <v/>
      </c>
      <c r="T97" s="18" t="str">
        <f aca="true">IF(B97="","",TODAY()-B97)</f>
        <v/>
      </c>
    </row>
    <row r="98" customFormat="false" ht="15" hidden="false" customHeight="false" outlineLevel="0" collapsed="false">
      <c r="A98" s="11" t="str">
        <f aca="false">IF(B98="","",ROW()-3)</f>
        <v/>
      </c>
      <c r="B98" s="12"/>
      <c r="C98" s="13"/>
      <c r="D98" s="14"/>
      <c r="E98" s="11"/>
      <c r="F98" s="15"/>
      <c r="G98" s="14"/>
      <c r="H98" s="15"/>
      <c r="I98" s="15"/>
      <c r="J98" s="16"/>
      <c r="K98" s="12"/>
      <c r="L98" s="12"/>
      <c r="M98" s="16"/>
      <c r="N98" s="12"/>
      <c r="O98" s="17"/>
      <c r="P98" s="16"/>
      <c r="Q98" s="12"/>
      <c r="R98" s="15"/>
      <c r="S98" s="16" t="str">
        <f aca="false">IF(B98="","",IF(M98="Desestimada","Cerrado - desestimada",IF(AND(M98="Aplicada",OR(P98="Pagada",P98="Incluida en expensas")),"Cerrado - multa cobrada",IF(M98="Aplicada","Multa aplicada - impaga",IF(L98&lt;&gt;"","Descargo respondido - a resolver",IF(J98="Sí","Esperando respuesta descargo","Pendiente enviar descargo"))))))</f>
        <v/>
      </c>
      <c r="T98" s="18" t="str">
        <f aca="true">IF(B98="","",TODAY()-B98)</f>
        <v/>
      </c>
    </row>
    <row r="99" customFormat="false" ht="15" hidden="false" customHeight="false" outlineLevel="0" collapsed="false">
      <c r="A99" s="11" t="str">
        <f aca="false">IF(B99="","",ROW()-3)</f>
        <v/>
      </c>
      <c r="B99" s="12"/>
      <c r="C99" s="13"/>
      <c r="D99" s="14"/>
      <c r="E99" s="11"/>
      <c r="F99" s="15"/>
      <c r="G99" s="14"/>
      <c r="H99" s="15"/>
      <c r="I99" s="15"/>
      <c r="J99" s="16"/>
      <c r="K99" s="12"/>
      <c r="L99" s="12"/>
      <c r="M99" s="16"/>
      <c r="N99" s="12"/>
      <c r="O99" s="17"/>
      <c r="P99" s="16"/>
      <c r="Q99" s="12"/>
      <c r="R99" s="15"/>
      <c r="S99" s="16" t="str">
        <f aca="false">IF(B99="","",IF(M99="Desestimada","Cerrado - desestimada",IF(AND(M99="Aplicada",OR(P99="Pagada",P99="Incluida en expensas")),"Cerrado - multa cobrada",IF(M99="Aplicada","Multa aplicada - impaga",IF(L99&lt;&gt;"","Descargo respondido - a resolver",IF(J99="Sí","Esperando respuesta descargo","Pendiente enviar descargo"))))))</f>
        <v/>
      </c>
      <c r="T99" s="18" t="str">
        <f aca="true">IF(B99="","",TODAY()-B99)</f>
        <v/>
      </c>
    </row>
    <row r="100" customFormat="false" ht="15" hidden="false" customHeight="false" outlineLevel="0" collapsed="false">
      <c r="A100" s="11" t="str">
        <f aca="false">IF(B100="","",ROW()-3)</f>
        <v/>
      </c>
      <c r="B100" s="12"/>
      <c r="C100" s="13"/>
      <c r="D100" s="14"/>
      <c r="E100" s="11"/>
      <c r="F100" s="15"/>
      <c r="G100" s="14"/>
      <c r="H100" s="15"/>
      <c r="I100" s="15"/>
      <c r="J100" s="16"/>
      <c r="K100" s="12"/>
      <c r="L100" s="12"/>
      <c r="M100" s="16"/>
      <c r="N100" s="12"/>
      <c r="O100" s="17"/>
      <c r="P100" s="16"/>
      <c r="Q100" s="12"/>
      <c r="R100" s="15"/>
      <c r="S100" s="16" t="str">
        <f aca="false">IF(B100="","",IF(M100="Desestimada","Cerrado - desestimada",IF(AND(M100="Aplicada",OR(P100="Pagada",P100="Incluida en expensas")),"Cerrado - multa cobrada",IF(M100="Aplicada","Multa aplicada - impaga",IF(L100&lt;&gt;"","Descargo respondido - a resolver",IF(J100="Sí","Esperando respuesta descargo","Pendiente enviar descargo"))))))</f>
        <v/>
      </c>
      <c r="T100" s="18" t="str">
        <f aca="true">IF(B100="","",TODAY()-B100)</f>
        <v/>
      </c>
    </row>
    <row r="101" customFormat="false" ht="15" hidden="false" customHeight="false" outlineLevel="0" collapsed="false">
      <c r="A101" s="11" t="str">
        <f aca="false">IF(B101="","",ROW()-3)</f>
        <v/>
      </c>
      <c r="B101" s="12"/>
      <c r="C101" s="13"/>
      <c r="D101" s="14"/>
      <c r="E101" s="11"/>
      <c r="F101" s="15"/>
      <c r="G101" s="14"/>
      <c r="H101" s="15"/>
      <c r="I101" s="15"/>
      <c r="J101" s="16"/>
      <c r="K101" s="12"/>
      <c r="L101" s="12"/>
      <c r="M101" s="16"/>
      <c r="N101" s="12"/>
      <c r="O101" s="17"/>
      <c r="P101" s="16"/>
      <c r="Q101" s="12"/>
      <c r="R101" s="15"/>
      <c r="S101" s="16" t="str">
        <f aca="false">IF(B101="","",IF(M101="Desestimada","Cerrado - desestimada",IF(AND(M101="Aplicada",OR(P101="Pagada",P101="Incluida en expensas")),"Cerrado - multa cobrada",IF(M101="Aplicada","Multa aplicada - impaga",IF(L101&lt;&gt;"","Descargo respondido - a resolver",IF(J101="Sí","Esperando respuesta descargo","Pendiente enviar descargo"))))))</f>
        <v/>
      </c>
      <c r="T101" s="18" t="str">
        <f aca="true">IF(B101="","",TODAY()-B101)</f>
        <v/>
      </c>
    </row>
    <row r="102" customFormat="false" ht="15" hidden="false" customHeight="false" outlineLevel="0" collapsed="false">
      <c r="A102" s="11" t="str">
        <f aca="false">IF(B102="","",ROW()-3)</f>
        <v/>
      </c>
      <c r="B102" s="12"/>
      <c r="C102" s="13"/>
      <c r="D102" s="14"/>
      <c r="E102" s="11"/>
      <c r="F102" s="15"/>
      <c r="G102" s="14"/>
      <c r="H102" s="15"/>
      <c r="I102" s="15"/>
      <c r="J102" s="16"/>
      <c r="K102" s="12"/>
      <c r="L102" s="12"/>
      <c r="M102" s="16"/>
      <c r="N102" s="12"/>
      <c r="O102" s="17"/>
      <c r="P102" s="16"/>
      <c r="Q102" s="12"/>
      <c r="R102" s="15"/>
      <c r="S102" s="16" t="str">
        <f aca="false">IF(B102="","",IF(M102="Desestimada","Cerrado - desestimada",IF(AND(M102="Aplicada",OR(P102="Pagada",P102="Incluida en expensas")),"Cerrado - multa cobrada",IF(M102="Aplicada","Multa aplicada - impaga",IF(L102&lt;&gt;"","Descargo respondido - a resolver",IF(J102="Sí","Esperando respuesta descargo","Pendiente enviar descargo"))))))</f>
        <v/>
      </c>
      <c r="T102" s="18" t="str">
        <f aca="true">IF(B102="","",TODAY()-B102)</f>
        <v/>
      </c>
    </row>
    <row r="103" customFormat="false" ht="15" hidden="false" customHeight="false" outlineLevel="0" collapsed="false">
      <c r="A103" s="11" t="str">
        <f aca="false">IF(B103="","",ROW()-3)</f>
        <v/>
      </c>
      <c r="B103" s="12"/>
      <c r="C103" s="13"/>
      <c r="D103" s="14"/>
      <c r="E103" s="11"/>
      <c r="F103" s="15"/>
      <c r="G103" s="14"/>
      <c r="H103" s="15"/>
      <c r="I103" s="15"/>
      <c r="J103" s="16"/>
      <c r="K103" s="12"/>
      <c r="L103" s="12"/>
      <c r="M103" s="16"/>
      <c r="N103" s="12"/>
      <c r="O103" s="17"/>
      <c r="P103" s="16"/>
      <c r="Q103" s="12"/>
      <c r="R103" s="15"/>
      <c r="S103" s="16" t="str">
        <f aca="false">IF(B103="","",IF(M103="Desestimada","Cerrado - desestimada",IF(AND(M103="Aplicada",OR(P103="Pagada",P103="Incluida en expensas")),"Cerrado - multa cobrada",IF(M103="Aplicada","Multa aplicada - impaga",IF(L103&lt;&gt;"","Descargo respondido - a resolver",IF(J103="Sí","Esperando respuesta descargo","Pendiente enviar descargo"))))))</f>
        <v/>
      </c>
      <c r="T103" s="18" t="str">
        <f aca="true">IF(B103="","",TODAY()-B103)</f>
        <v/>
      </c>
    </row>
    <row r="104" customFormat="false" ht="15" hidden="false" customHeight="false" outlineLevel="0" collapsed="false">
      <c r="A104" s="11" t="str">
        <f aca="false">IF(B104="","",ROW()-3)</f>
        <v/>
      </c>
      <c r="B104" s="12"/>
      <c r="C104" s="13"/>
      <c r="D104" s="14"/>
      <c r="E104" s="11"/>
      <c r="F104" s="15"/>
      <c r="G104" s="14"/>
      <c r="H104" s="15"/>
      <c r="I104" s="15"/>
      <c r="J104" s="16"/>
      <c r="K104" s="12"/>
      <c r="L104" s="12"/>
      <c r="M104" s="16"/>
      <c r="N104" s="12"/>
      <c r="O104" s="17"/>
      <c r="P104" s="16"/>
      <c r="Q104" s="12"/>
      <c r="R104" s="15"/>
      <c r="S104" s="16" t="str">
        <f aca="false">IF(B104="","",IF(M104="Desestimada","Cerrado - desestimada",IF(AND(M104="Aplicada",OR(P104="Pagada",P104="Incluida en expensas")),"Cerrado - multa cobrada",IF(M104="Aplicada","Multa aplicada - impaga",IF(L104&lt;&gt;"","Descargo respondido - a resolver",IF(J104="Sí","Esperando respuesta descargo","Pendiente enviar descargo"))))))</f>
        <v/>
      </c>
      <c r="T104" s="18" t="str">
        <f aca="true">IF(B104="","",TODAY()-B104)</f>
        <v/>
      </c>
    </row>
    <row r="105" customFormat="false" ht="15" hidden="false" customHeight="false" outlineLevel="0" collapsed="false">
      <c r="A105" s="11" t="str">
        <f aca="false">IF(B105="","",ROW()-3)</f>
        <v/>
      </c>
      <c r="B105" s="12"/>
      <c r="C105" s="13"/>
      <c r="D105" s="14"/>
      <c r="E105" s="11"/>
      <c r="F105" s="15"/>
      <c r="G105" s="14"/>
      <c r="H105" s="15"/>
      <c r="I105" s="15"/>
      <c r="J105" s="16"/>
      <c r="K105" s="12"/>
      <c r="L105" s="12"/>
      <c r="M105" s="16"/>
      <c r="N105" s="12"/>
      <c r="O105" s="17"/>
      <c r="P105" s="16"/>
      <c r="Q105" s="12"/>
      <c r="R105" s="15"/>
      <c r="S105" s="16" t="str">
        <f aca="false">IF(B105="","",IF(M105="Desestimada","Cerrado - desestimada",IF(AND(M105="Aplicada",OR(P105="Pagada",P105="Incluida en expensas")),"Cerrado - multa cobrada",IF(M105="Aplicada","Multa aplicada - impaga",IF(L105&lt;&gt;"","Descargo respondido - a resolver",IF(J105="Sí","Esperando respuesta descargo","Pendiente enviar descargo"))))))</f>
        <v/>
      </c>
      <c r="T105" s="18" t="str">
        <f aca="true">IF(B105="","",TODAY()-B105)</f>
        <v/>
      </c>
    </row>
    <row r="106" customFormat="false" ht="15" hidden="false" customHeight="false" outlineLevel="0" collapsed="false">
      <c r="A106" s="11" t="str">
        <f aca="false">IF(B106="","",ROW()-3)</f>
        <v/>
      </c>
      <c r="B106" s="12"/>
      <c r="C106" s="13"/>
      <c r="D106" s="14"/>
      <c r="E106" s="11"/>
      <c r="F106" s="15"/>
      <c r="G106" s="14"/>
      <c r="H106" s="15"/>
      <c r="I106" s="15"/>
      <c r="J106" s="16"/>
      <c r="K106" s="12"/>
      <c r="L106" s="12"/>
      <c r="M106" s="16"/>
      <c r="N106" s="12"/>
      <c r="O106" s="17"/>
      <c r="P106" s="16"/>
      <c r="Q106" s="12"/>
      <c r="R106" s="15"/>
      <c r="S106" s="16" t="str">
        <f aca="false">IF(B106="","",IF(M106="Desestimada","Cerrado - desestimada",IF(AND(M106="Aplicada",OR(P106="Pagada",P106="Incluida en expensas")),"Cerrado - multa cobrada",IF(M106="Aplicada","Multa aplicada - impaga",IF(L106&lt;&gt;"","Descargo respondido - a resolver",IF(J106="Sí","Esperando respuesta descargo","Pendiente enviar descargo"))))))</f>
        <v/>
      </c>
      <c r="T106" s="18" t="str">
        <f aca="true">IF(B106="","",TODAY()-B106)</f>
        <v/>
      </c>
    </row>
    <row r="107" customFormat="false" ht="15" hidden="false" customHeight="false" outlineLevel="0" collapsed="false">
      <c r="A107" s="11" t="str">
        <f aca="false">IF(B107="","",ROW()-3)</f>
        <v/>
      </c>
      <c r="B107" s="12"/>
      <c r="C107" s="13"/>
      <c r="D107" s="14"/>
      <c r="E107" s="11"/>
      <c r="F107" s="15"/>
      <c r="G107" s="14"/>
      <c r="H107" s="15"/>
      <c r="I107" s="15"/>
      <c r="J107" s="16"/>
      <c r="K107" s="12"/>
      <c r="L107" s="12"/>
      <c r="M107" s="16"/>
      <c r="N107" s="12"/>
      <c r="O107" s="17"/>
      <c r="P107" s="16"/>
      <c r="Q107" s="12"/>
      <c r="R107" s="15"/>
      <c r="S107" s="16" t="str">
        <f aca="false">IF(B107="","",IF(M107="Desestimada","Cerrado - desestimada",IF(AND(M107="Aplicada",OR(P107="Pagada",P107="Incluida en expensas")),"Cerrado - multa cobrada",IF(M107="Aplicada","Multa aplicada - impaga",IF(L107&lt;&gt;"","Descargo respondido - a resolver",IF(J107="Sí","Esperando respuesta descargo","Pendiente enviar descargo"))))))</f>
        <v/>
      </c>
      <c r="T107" s="18" t="str">
        <f aca="true">IF(B107="","",TODAY()-B107)</f>
        <v/>
      </c>
    </row>
    <row r="108" customFormat="false" ht="15" hidden="false" customHeight="false" outlineLevel="0" collapsed="false">
      <c r="A108" s="11" t="str">
        <f aca="false">IF(B108="","",ROW()-3)</f>
        <v/>
      </c>
      <c r="B108" s="12"/>
      <c r="C108" s="13"/>
      <c r="D108" s="14"/>
      <c r="E108" s="11"/>
      <c r="F108" s="15"/>
      <c r="G108" s="14"/>
      <c r="H108" s="15"/>
      <c r="I108" s="15"/>
      <c r="J108" s="16"/>
      <c r="K108" s="12"/>
      <c r="L108" s="12"/>
      <c r="M108" s="16"/>
      <c r="N108" s="12"/>
      <c r="O108" s="17"/>
      <c r="P108" s="16"/>
      <c r="Q108" s="12"/>
      <c r="R108" s="15"/>
      <c r="S108" s="16" t="str">
        <f aca="false">IF(B108="","",IF(M108="Desestimada","Cerrado - desestimada",IF(AND(M108="Aplicada",OR(P108="Pagada",P108="Incluida en expensas")),"Cerrado - multa cobrada",IF(M108="Aplicada","Multa aplicada - impaga",IF(L108&lt;&gt;"","Descargo respondido - a resolver",IF(J108="Sí","Esperando respuesta descargo","Pendiente enviar descargo"))))))</f>
        <v/>
      </c>
      <c r="T108" s="18" t="str">
        <f aca="true">IF(B108="","",TODAY()-B108)</f>
        <v/>
      </c>
    </row>
    <row r="109" customFormat="false" ht="15" hidden="false" customHeight="false" outlineLevel="0" collapsed="false">
      <c r="A109" s="11" t="str">
        <f aca="false">IF(B109="","",ROW()-3)</f>
        <v/>
      </c>
      <c r="B109" s="12"/>
      <c r="C109" s="13"/>
      <c r="D109" s="14"/>
      <c r="E109" s="11"/>
      <c r="F109" s="15"/>
      <c r="G109" s="14"/>
      <c r="H109" s="15"/>
      <c r="I109" s="15"/>
      <c r="J109" s="16"/>
      <c r="K109" s="12"/>
      <c r="L109" s="12"/>
      <c r="M109" s="16"/>
      <c r="N109" s="12"/>
      <c r="O109" s="17"/>
      <c r="P109" s="16"/>
      <c r="Q109" s="12"/>
      <c r="R109" s="15"/>
      <c r="S109" s="16" t="str">
        <f aca="false">IF(B109="","",IF(M109="Desestimada","Cerrado - desestimada",IF(AND(M109="Aplicada",OR(P109="Pagada",P109="Incluida en expensas")),"Cerrado - multa cobrada",IF(M109="Aplicada","Multa aplicada - impaga",IF(L109&lt;&gt;"","Descargo respondido - a resolver",IF(J109="Sí","Esperando respuesta descargo","Pendiente enviar descargo"))))))</f>
        <v/>
      </c>
      <c r="T109" s="18" t="str">
        <f aca="true">IF(B109="","",TODAY()-B109)</f>
        <v/>
      </c>
    </row>
    <row r="110" customFormat="false" ht="15" hidden="false" customHeight="false" outlineLevel="0" collapsed="false">
      <c r="A110" s="11" t="str">
        <f aca="false">IF(B110="","",ROW()-3)</f>
        <v/>
      </c>
      <c r="B110" s="12"/>
      <c r="C110" s="13"/>
      <c r="D110" s="14"/>
      <c r="E110" s="11"/>
      <c r="F110" s="15"/>
      <c r="G110" s="14"/>
      <c r="H110" s="15"/>
      <c r="I110" s="15"/>
      <c r="J110" s="16"/>
      <c r="K110" s="12"/>
      <c r="L110" s="12"/>
      <c r="M110" s="16"/>
      <c r="N110" s="12"/>
      <c r="O110" s="17"/>
      <c r="P110" s="16"/>
      <c r="Q110" s="12"/>
      <c r="R110" s="15"/>
      <c r="S110" s="16" t="str">
        <f aca="false">IF(B110="","",IF(M110="Desestimada","Cerrado - desestimada",IF(AND(M110="Aplicada",OR(P110="Pagada",P110="Incluida en expensas")),"Cerrado - multa cobrada",IF(M110="Aplicada","Multa aplicada - impaga",IF(L110&lt;&gt;"","Descargo respondido - a resolver",IF(J110="Sí","Esperando respuesta descargo","Pendiente enviar descargo"))))))</f>
        <v/>
      </c>
      <c r="T110" s="18" t="str">
        <f aca="true">IF(B110="","",TODAY()-B110)</f>
        <v/>
      </c>
    </row>
    <row r="111" customFormat="false" ht="15" hidden="false" customHeight="false" outlineLevel="0" collapsed="false">
      <c r="A111" s="11" t="str">
        <f aca="false">IF(B111="","",ROW()-3)</f>
        <v/>
      </c>
      <c r="B111" s="12"/>
      <c r="C111" s="13"/>
      <c r="D111" s="14"/>
      <c r="E111" s="11"/>
      <c r="F111" s="15"/>
      <c r="G111" s="14"/>
      <c r="H111" s="15"/>
      <c r="I111" s="15"/>
      <c r="J111" s="16"/>
      <c r="K111" s="12"/>
      <c r="L111" s="12"/>
      <c r="M111" s="16"/>
      <c r="N111" s="12"/>
      <c r="O111" s="17"/>
      <c r="P111" s="16"/>
      <c r="Q111" s="12"/>
      <c r="R111" s="15"/>
      <c r="S111" s="16" t="str">
        <f aca="false">IF(B111="","",IF(M111="Desestimada","Cerrado - desestimada",IF(AND(M111="Aplicada",OR(P111="Pagada",P111="Incluida en expensas")),"Cerrado - multa cobrada",IF(M111="Aplicada","Multa aplicada - impaga",IF(L111&lt;&gt;"","Descargo respondido - a resolver",IF(J111="Sí","Esperando respuesta descargo","Pendiente enviar descargo"))))))</f>
        <v/>
      </c>
      <c r="T111" s="18" t="str">
        <f aca="true">IF(B111="","",TODAY()-B111)</f>
        <v/>
      </c>
    </row>
    <row r="112" customFormat="false" ht="15" hidden="false" customHeight="false" outlineLevel="0" collapsed="false">
      <c r="A112" s="11" t="str">
        <f aca="false">IF(B112="","",ROW()-3)</f>
        <v/>
      </c>
      <c r="B112" s="12"/>
      <c r="C112" s="13"/>
      <c r="D112" s="14"/>
      <c r="E112" s="11"/>
      <c r="F112" s="15"/>
      <c r="G112" s="14"/>
      <c r="H112" s="15"/>
      <c r="I112" s="15"/>
      <c r="J112" s="16"/>
      <c r="K112" s="12"/>
      <c r="L112" s="12"/>
      <c r="M112" s="16"/>
      <c r="N112" s="12"/>
      <c r="O112" s="17"/>
      <c r="P112" s="16"/>
      <c r="Q112" s="12"/>
      <c r="R112" s="15"/>
      <c r="S112" s="16" t="str">
        <f aca="false">IF(B112="","",IF(M112="Desestimada","Cerrado - desestimada",IF(AND(M112="Aplicada",OR(P112="Pagada",P112="Incluida en expensas")),"Cerrado - multa cobrada",IF(M112="Aplicada","Multa aplicada - impaga",IF(L112&lt;&gt;"","Descargo respondido - a resolver",IF(J112="Sí","Esperando respuesta descargo","Pendiente enviar descargo"))))))</f>
        <v/>
      </c>
      <c r="T112" s="18" t="str">
        <f aca="true">IF(B112="","",TODAY()-B112)</f>
        <v/>
      </c>
    </row>
    <row r="113" customFormat="false" ht="15" hidden="false" customHeight="false" outlineLevel="0" collapsed="false">
      <c r="A113" s="11" t="str">
        <f aca="false">IF(B113="","",ROW()-3)</f>
        <v/>
      </c>
      <c r="B113" s="12"/>
      <c r="C113" s="13"/>
      <c r="D113" s="14"/>
      <c r="E113" s="11"/>
      <c r="F113" s="15"/>
      <c r="G113" s="14"/>
      <c r="H113" s="15"/>
      <c r="I113" s="15"/>
      <c r="J113" s="16"/>
      <c r="K113" s="12"/>
      <c r="L113" s="12"/>
      <c r="M113" s="16"/>
      <c r="N113" s="12"/>
      <c r="O113" s="17"/>
      <c r="P113" s="16"/>
      <c r="Q113" s="12"/>
      <c r="R113" s="15"/>
      <c r="S113" s="16" t="str">
        <f aca="false">IF(B113="","",IF(M113="Desestimada","Cerrado - desestimada",IF(AND(M113="Aplicada",OR(P113="Pagada",P113="Incluida en expensas")),"Cerrado - multa cobrada",IF(M113="Aplicada","Multa aplicada - impaga",IF(L113&lt;&gt;"","Descargo respondido - a resolver",IF(J113="Sí","Esperando respuesta descargo","Pendiente enviar descargo"))))))</f>
        <v/>
      </c>
      <c r="T113" s="18" t="str">
        <f aca="true">IF(B113="","",TODAY()-B113)</f>
        <v/>
      </c>
    </row>
    <row r="114" customFormat="false" ht="15" hidden="false" customHeight="false" outlineLevel="0" collapsed="false">
      <c r="A114" s="11" t="str">
        <f aca="false">IF(B114="","",ROW()-3)</f>
        <v/>
      </c>
      <c r="B114" s="12"/>
      <c r="C114" s="13"/>
      <c r="D114" s="14"/>
      <c r="E114" s="11"/>
      <c r="F114" s="15"/>
      <c r="G114" s="14"/>
      <c r="H114" s="15"/>
      <c r="I114" s="15"/>
      <c r="J114" s="16"/>
      <c r="K114" s="12"/>
      <c r="L114" s="12"/>
      <c r="M114" s="16"/>
      <c r="N114" s="12"/>
      <c r="O114" s="17"/>
      <c r="P114" s="16"/>
      <c r="Q114" s="12"/>
      <c r="R114" s="15"/>
      <c r="S114" s="16" t="str">
        <f aca="false">IF(B114="","",IF(M114="Desestimada","Cerrado - desestimada",IF(AND(M114="Aplicada",OR(P114="Pagada",P114="Incluida en expensas")),"Cerrado - multa cobrada",IF(M114="Aplicada","Multa aplicada - impaga",IF(L114&lt;&gt;"","Descargo respondido - a resolver",IF(J114="Sí","Esperando respuesta descargo","Pendiente enviar descargo"))))))</f>
        <v/>
      </c>
      <c r="T114" s="18" t="str">
        <f aca="true">IF(B114="","",TODAY()-B114)</f>
        <v/>
      </c>
    </row>
    <row r="115" customFormat="false" ht="15" hidden="false" customHeight="false" outlineLevel="0" collapsed="false">
      <c r="A115" s="11" t="str">
        <f aca="false">IF(B115="","",ROW()-3)</f>
        <v/>
      </c>
      <c r="B115" s="12"/>
      <c r="C115" s="13"/>
      <c r="D115" s="14"/>
      <c r="E115" s="11"/>
      <c r="F115" s="15"/>
      <c r="G115" s="14"/>
      <c r="H115" s="15"/>
      <c r="I115" s="15"/>
      <c r="J115" s="16"/>
      <c r="K115" s="12"/>
      <c r="L115" s="12"/>
      <c r="M115" s="16"/>
      <c r="N115" s="12"/>
      <c r="O115" s="17"/>
      <c r="P115" s="16"/>
      <c r="Q115" s="12"/>
      <c r="R115" s="15"/>
      <c r="S115" s="16" t="str">
        <f aca="false">IF(B115="","",IF(M115="Desestimada","Cerrado - desestimada",IF(AND(M115="Aplicada",OR(P115="Pagada",P115="Incluida en expensas")),"Cerrado - multa cobrada",IF(M115="Aplicada","Multa aplicada - impaga",IF(L115&lt;&gt;"","Descargo respondido - a resolver",IF(J115="Sí","Esperando respuesta descargo","Pendiente enviar descargo"))))))</f>
        <v/>
      </c>
      <c r="T115" s="18" t="str">
        <f aca="true">IF(B115="","",TODAY()-B115)</f>
        <v/>
      </c>
    </row>
    <row r="116" customFormat="false" ht="15" hidden="false" customHeight="false" outlineLevel="0" collapsed="false">
      <c r="A116" s="11" t="str">
        <f aca="false">IF(B116="","",ROW()-3)</f>
        <v/>
      </c>
      <c r="B116" s="12"/>
      <c r="C116" s="13"/>
      <c r="D116" s="14"/>
      <c r="E116" s="11"/>
      <c r="F116" s="15"/>
      <c r="G116" s="14"/>
      <c r="H116" s="15"/>
      <c r="I116" s="15"/>
      <c r="J116" s="16"/>
      <c r="K116" s="12"/>
      <c r="L116" s="12"/>
      <c r="M116" s="16"/>
      <c r="N116" s="12"/>
      <c r="O116" s="17"/>
      <c r="P116" s="16"/>
      <c r="Q116" s="12"/>
      <c r="R116" s="15"/>
      <c r="S116" s="16" t="str">
        <f aca="false">IF(B116="","",IF(M116="Desestimada","Cerrado - desestimada",IF(AND(M116="Aplicada",OR(P116="Pagada",P116="Incluida en expensas")),"Cerrado - multa cobrada",IF(M116="Aplicada","Multa aplicada - impaga",IF(L116&lt;&gt;"","Descargo respondido - a resolver",IF(J116="Sí","Esperando respuesta descargo","Pendiente enviar descargo"))))))</f>
        <v/>
      </c>
      <c r="T116" s="18" t="str">
        <f aca="true">IF(B116="","",TODAY()-B116)</f>
        <v/>
      </c>
    </row>
    <row r="117" customFormat="false" ht="15" hidden="false" customHeight="false" outlineLevel="0" collapsed="false">
      <c r="A117" s="11" t="str">
        <f aca="false">IF(B117="","",ROW()-3)</f>
        <v/>
      </c>
      <c r="B117" s="12"/>
      <c r="C117" s="13"/>
      <c r="D117" s="14"/>
      <c r="E117" s="11"/>
      <c r="F117" s="15"/>
      <c r="G117" s="14"/>
      <c r="H117" s="15"/>
      <c r="I117" s="15"/>
      <c r="J117" s="16"/>
      <c r="K117" s="12"/>
      <c r="L117" s="12"/>
      <c r="M117" s="16"/>
      <c r="N117" s="12"/>
      <c r="O117" s="17"/>
      <c r="P117" s="16"/>
      <c r="Q117" s="12"/>
      <c r="R117" s="15"/>
      <c r="S117" s="16" t="str">
        <f aca="false">IF(B117="","",IF(M117="Desestimada","Cerrado - desestimada",IF(AND(M117="Aplicada",OR(P117="Pagada",P117="Incluida en expensas")),"Cerrado - multa cobrada",IF(M117="Aplicada","Multa aplicada - impaga",IF(L117&lt;&gt;"","Descargo respondido - a resolver",IF(J117="Sí","Esperando respuesta descargo","Pendiente enviar descargo"))))))</f>
        <v/>
      </c>
      <c r="T117" s="18" t="str">
        <f aca="true">IF(B117="","",TODAY()-B117)</f>
        <v/>
      </c>
    </row>
    <row r="118" customFormat="false" ht="15" hidden="false" customHeight="false" outlineLevel="0" collapsed="false">
      <c r="A118" s="11" t="str">
        <f aca="false">IF(B118="","",ROW()-3)</f>
        <v/>
      </c>
      <c r="B118" s="12"/>
      <c r="C118" s="13"/>
      <c r="D118" s="14"/>
      <c r="E118" s="11"/>
      <c r="F118" s="15"/>
      <c r="G118" s="14"/>
      <c r="H118" s="15"/>
      <c r="I118" s="15"/>
      <c r="J118" s="16"/>
      <c r="K118" s="12"/>
      <c r="L118" s="12"/>
      <c r="M118" s="16"/>
      <c r="N118" s="12"/>
      <c r="O118" s="17"/>
      <c r="P118" s="16"/>
      <c r="Q118" s="12"/>
      <c r="R118" s="15"/>
      <c r="S118" s="16" t="str">
        <f aca="false">IF(B118="","",IF(M118="Desestimada","Cerrado - desestimada",IF(AND(M118="Aplicada",OR(P118="Pagada",P118="Incluida en expensas")),"Cerrado - multa cobrada",IF(M118="Aplicada","Multa aplicada - impaga",IF(L118&lt;&gt;"","Descargo respondido - a resolver",IF(J118="Sí","Esperando respuesta descargo","Pendiente enviar descargo"))))))</f>
        <v/>
      </c>
      <c r="T118" s="18" t="str">
        <f aca="true">IF(B118="","",TODAY()-B118)</f>
        <v/>
      </c>
    </row>
    <row r="119" customFormat="false" ht="15" hidden="false" customHeight="false" outlineLevel="0" collapsed="false">
      <c r="A119" s="11" t="str">
        <f aca="false">IF(B119="","",ROW()-3)</f>
        <v/>
      </c>
      <c r="B119" s="12"/>
      <c r="C119" s="13"/>
      <c r="D119" s="14"/>
      <c r="E119" s="11"/>
      <c r="F119" s="15"/>
      <c r="G119" s="14"/>
      <c r="H119" s="15"/>
      <c r="I119" s="15"/>
      <c r="J119" s="16"/>
      <c r="K119" s="12"/>
      <c r="L119" s="12"/>
      <c r="M119" s="16"/>
      <c r="N119" s="12"/>
      <c r="O119" s="17"/>
      <c r="P119" s="16"/>
      <c r="Q119" s="12"/>
      <c r="R119" s="15"/>
      <c r="S119" s="16" t="str">
        <f aca="false">IF(B119="","",IF(M119="Desestimada","Cerrado - desestimada",IF(AND(M119="Aplicada",OR(P119="Pagada",P119="Incluida en expensas")),"Cerrado - multa cobrada",IF(M119="Aplicada","Multa aplicada - impaga",IF(L119&lt;&gt;"","Descargo respondido - a resolver",IF(J119="Sí","Esperando respuesta descargo","Pendiente enviar descargo"))))))</f>
        <v/>
      </c>
      <c r="T119" s="18" t="str">
        <f aca="true">IF(B119="","",TODAY()-B119)</f>
        <v/>
      </c>
    </row>
    <row r="120" customFormat="false" ht="15" hidden="false" customHeight="false" outlineLevel="0" collapsed="false">
      <c r="A120" s="11" t="str">
        <f aca="false">IF(B120="","",ROW()-3)</f>
        <v/>
      </c>
      <c r="B120" s="12"/>
      <c r="C120" s="13"/>
      <c r="D120" s="14"/>
      <c r="E120" s="11"/>
      <c r="F120" s="15"/>
      <c r="G120" s="14"/>
      <c r="H120" s="15"/>
      <c r="I120" s="15"/>
      <c r="J120" s="16"/>
      <c r="K120" s="12"/>
      <c r="L120" s="12"/>
      <c r="M120" s="16"/>
      <c r="N120" s="12"/>
      <c r="O120" s="17"/>
      <c r="P120" s="16"/>
      <c r="Q120" s="12"/>
      <c r="R120" s="15"/>
      <c r="S120" s="16" t="str">
        <f aca="false">IF(B120="","",IF(M120="Desestimada","Cerrado - desestimada",IF(AND(M120="Aplicada",OR(P120="Pagada",P120="Incluida en expensas")),"Cerrado - multa cobrada",IF(M120="Aplicada","Multa aplicada - impaga",IF(L120&lt;&gt;"","Descargo respondido - a resolver",IF(J120="Sí","Esperando respuesta descargo","Pendiente enviar descargo"))))))</f>
        <v/>
      </c>
      <c r="T120" s="18" t="str">
        <f aca="true">IF(B120="","",TODAY()-B120)</f>
        <v/>
      </c>
    </row>
    <row r="121" customFormat="false" ht="15" hidden="false" customHeight="false" outlineLevel="0" collapsed="false">
      <c r="A121" s="11" t="str">
        <f aca="false">IF(B121="","",ROW()-3)</f>
        <v/>
      </c>
      <c r="B121" s="12"/>
      <c r="C121" s="13"/>
      <c r="D121" s="14"/>
      <c r="E121" s="11"/>
      <c r="F121" s="15"/>
      <c r="G121" s="14"/>
      <c r="H121" s="15"/>
      <c r="I121" s="15"/>
      <c r="J121" s="16"/>
      <c r="K121" s="12"/>
      <c r="L121" s="12"/>
      <c r="M121" s="16"/>
      <c r="N121" s="12"/>
      <c r="O121" s="17"/>
      <c r="P121" s="16"/>
      <c r="Q121" s="12"/>
      <c r="R121" s="15"/>
      <c r="S121" s="16" t="str">
        <f aca="false">IF(B121="","",IF(M121="Desestimada","Cerrado - desestimada",IF(AND(M121="Aplicada",OR(P121="Pagada",P121="Incluida en expensas")),"Cerrado - multa cobrada",IF(M121="Aplicada","Multa aplicada - impaga",IF(L121&lt;&gt;"","Descargo respondido - a resolver",IF(J121="Sí","Esperando respuesta descargo","Pendiente enviar descargo"))))))</f>
        <v/>
      </c>
      <c r="T121" s="18" t="str">
        <f aca="true">IF(B121="","",TODAY()-B121)</f>
        <v/>
      </c>
    </row>
    <row r="122" customFormat="false" ht="15" hidden="false" customHeight="false" outlineLevel="0" collapsed="false">
      <c r="A122" s="11" t="str">
        <f aca="false">IF(B122="","",ROW()-3)</f>
        <v/>
      </c>
      <c r="B122" s="12"/>
      <c r="C122" s="13"/>
      <c r="D122" s="14"/>
      <c r="E122" s="11"/>
      <c r="F122" s="15"/>
      <c r="G122" s="14"/>
      <c r="H122" s="15"/>
      <c r="I122" s="15"/>
      <c r="J122" s="16"/>
      <c r="K122" s="12"/>
      <c r="L122" s="12"/>
      <c r="M122" s="16"/>
      <c r="N122" s="12"/>
      <c r="O122" s="17"/>
      <c r="P122" s="16"/>
      <c r="Q122" s="12"/>
      <c r="R122" s="15"/>
      <c r="S122" s="16" t="str">
        <f aca="false">IF(B122="","",IF(M122="Desestimada","Cerrado - desestimada",IF(AND(M122="Aplicada",OR(P122="Pagada",P122="Incluida en expensas")),"Cerrado - multa cobrada",IF(M122="Aplicada","Multa aplicada - impaga",IF(L122&lt;&gt;"","Descargo respondido - a resolver",IF(J122="Sí","Esperando respuesta descargo","Pendiente enviar descargo"))))))</f>
        <v/>
      </c>
      <c r="T122" s="18" t="str">
        <f aca="true">IF(B122="","",TODAY()-B122)</f>
        <v/>
      </c>
    </row>
    <row r="123" customFormat="false" ht="15" hidden="false" customHeight="false" outlineLevel="0" collapsed="false">
      <c r="A123" s="11" t="str">
        <f aca="false">IF(B123="","",ROW()-3)</f>
        <v/>
      </c>
      <c r="B123" s="12"/>
      <c r="C123" s="13"/>
      <c r="D123" s="14"/>
      <c r="E123" s="11"/>
      <c r="F123" s="15"/>
      <c r="G123" s="14"/>
      <c r="H123" s="15"/>
      <c r="I123" s="15"/>
      <c r="J123" s="16"/>
      <c r="K123" s="12"/>
      <c r="L123" s="12"/>
      <c r="M123" s="16"/>
      <c r="N123" s="12"/>
      <c r="O123" s="17"/>
      <c r="P123" s="16"/>
      <c r="Q123" s="12"/>
      <c r="R123" s="15"/>
      <c r="S123" s="16" t="str">
        <f aca="false">IF(B123="","",IF(M123="Desestimada","Cerrado - desestimada",IF(AND(M123="Aplicada",OR(P123="Pagada",P123="Incluida en expensas")),"Cerrado - multa cobrada",IF(M123="Aplicada","Multa aplicada - impaga",IF(L123&lt;&gt;"","Descargo respondido - a resolver",IF(J123="Sí","Esperando respuesta descargo","Pendiente enviar descargo"))))))</f>
        <v/>
      </c>
      <c r="T123" s="18" t="str">
        <f aca="true">IF(B123="","",TODAY()-B123)</f>
        <v/>
      </c>
    </row>
    <row r="124" customFormat="false" ht="15" hidden="false" customHeight="false" outlineLevel="0" collapsed="false">
      <c r="A124" s="11" t="str">
        <f aca="false">IF(B124="","",ROW()-3)</f>
        <v/>
      </c>
      <c r="B124" s="12"/>
      <c r="C124" s="13"/>
      <c r="D124" s="14"/>
      <c r="E124" s="11"/>
      <c r="F124" s="15"/>
      <c r="G124" s="14"/>
      <c r="H124" s="15"/>
      <c r="I124" s="15"/>
      <c r="J124" s="16"/>
      <c r="K124" s="12"/>
      <c r="L124" s="12"/>
      <c r="M124" s="16"/>
      <c r="N124" s="12"/>
      <c r="O124" s="17"/>
      <c r="P124" s="16"/>
      <c r="Q124" s="12"/>
      <c r="R124" s="15"/>
      <c r="S124" s="16" t="str">
        <f aca="false">IF(B124="","",IF(M124="Desestimada","Cerrado - desestimada",IF(AND(M124="Aplicada",OR(P124="Pagada",P124="Incluida en expensas")),"Cerrado - multa cobrada",IF(M124="Aplicada","Multa aplicada - impaga",IF(L124&lt;&gt;"","Descargo respondido - a resolver",IF(J124="Sí","Esperando respuesta descargo","Pendiente enviar descargo"))))))</f>
        <v/>
      </c>
      <c r="T124" s="18" t="str">
        <f aca="true">IF(B124="","",TODAY()-B124)</f>
        <v/>
      </c>
    </row>
    <row r="125" customFormat="false" ht="15" hidden="false" customHeight="false" outlineLevel="0" collapsed="false">
      <c r="A125" s="11" t="str">
        <f aca="false">IF(B125="","",ROW()-3)</f>
        <v/>
      </c>
      <c r="B125" s="12"/>
      <c r="C125" s="13"/>
      <c r="D125" s="14"/>
      <c r="E125" s="11"/>
      <c r="F125" s="15"/>
      <c r="G125" s="14"/>
      <c r="H125" s="15"/>
      <c r="I125" s="15"/>
      <c r="J125" s="16"/>
      <c r="K125" s="12"/>
      <c r="L125" s="12"/>
      <c r="M125" s="16"/>
      <c r="N125" s="12"/>
      <c r="O125" s="17"/>
      <c r="P125" s="16"/>
      <c r="Q125" s="12"/>
      <c r="R125" s="15"/>
      <c r="S125" s="16" t="str">
        <f aca="false">IF(B125="","",IF(M125="Desestimada","Cerrado - desestimada",IF(AND(M125="Aplicada",OR(P125="Pagada",P125="Incluida en expensas")),"Cerrado - multa cobrada",IF(M125="Aplicada","Multa aplicada - impaga",IF(L125&lt;&gt;"","Descargo respondido - a resolver",IF(J125="Sí","Esperando respuesta descargo","Pendiente enviar descargo"))))))</f>
        <v/>
      </c>
      <c r="T125" s="18" t="str">
        <f aca="true">IF(B125="","",TODAY()-B125)</f>
        <v/>
      </c>
    </row>
    <row r="126" customFormat="false" ht="15" hidden="false" customHeight="false" outlineLevel="0" collapsed="false">
      <c r="A126" s="11" t="str">
        <f aca="false">IF(B126="","",ROW()-3)</f>
        <v/>
      </c>
      <c r="B126" s="12"/>
      <c r="C126" s="13"/>
      <c r="D126" s="14"/>
      <c r="E126" s="11"/>
      <c r="F126" s="15"/>
      <c r="G126" s="14"/>
      <c r="H126" s="15"/>
      <c r="I126" s="15"/>
      <c r="J126" s="16"/>
      <c r="K126" s="12"/>
      <c r="L126" s="12"/>
      <c r="M126" s="16"/>
      <c r="N126" s="12"/>
      <c r="O126" s="17"/>
      <c r="P126" s="16"/>
      <c r="Q126" s="12"/>
      <c r="R126" s="15"/>
      <c r="S126" s="16" t="str">
        <f aca="false">IF(B126="","",IF(M126="Desestimada","Cerrado - desestimada",IF(AND(M126="Aplicada",OR(P126="Pagada",P126="Incluida en expensas")),"Cerrado - multa cobrada",IF(M126="Aplicada","Multa aplicada - impaga",IF(L126&lt;&gt;"","Descargo respondido - a resolver",IF(J126="Sí","Esperando respuesta descargo","Pendiente enviar descargo"))))))</f>
        <v/>
      </c>
      <c r="T126" s="18" t="str">
        <f aca="true">IF(B126="","",TODAY()-B126)</f>
        <v/>
      </c>
    </row>
    <row r="127" customFormat="false" ht="15" hidden="false" customHeight="false" outlineLevel="0" collapsed="false">
      <c r="A127" s="11" t="str">
        <f aca="false">IF(B127="","",ROW()-3)</f>
        <v/>
      </c>
      <c r="B127" s="12"/>
      <c r="C127" s="13"/>
      <c r="D127" s="14"/>
      <c r="E127" s="11"/>
      <c r="F127" s="15"/>
      <c r="G127" s="14"/>
      <c r="H127" s="15"/>
      <c r="I127" s="15"/>
      <c r="J127" s="16"/>
      <c r="K127" s="12"/>
      <c r="L127" s="12"/>
      <c r="M127" s="16"/>
      <c r="N127" s="12"/>
      <c r="O127" s="17"/>
      <c r="P127" s="16"/>
      <c r="Q127" s="12"/>
      <c r="R127" s="15"/>
      <c r="S127" s="16" t="str">
        <f aca="false">IF(B127="","",IF(M127="Desestimada","Cerrado - desestimada",IF(AND(M127="Aplicada",OR(P127="Pagada",P127="Incluida en expensas")),"Cerrado - multa cobrada",IF(M127="Aplicada","Multa aplicada - impaga",IF(L127&lt;&gt;"","Descargo respondido - a resolver",IF(J127="Sí","Esperando respuesta descargo","Pendiente enviar descargo"))))))</f>
        <v/>
      </c>
      <c r="T127" s="18" t="str">
        <f aca="true">IF(B127="","",TODAY()-B127)</f>
        <v/>
      </c>
    </row>
    <row r="128" customFormat="false" ht="15" hidden="false" customHeight="false" outlineLevel="0" collapsed="false">
      <c r="A128" s="11" t="str">
        <f aca="false">IF(B128="","",ROW()-3)</f>
        <v/>
      </c>
      <c r="B128" s="12"/>
      <c r="C128" s="13"/>
      <c r="D128" s="14"/>
      <c r="E128" s="11"/>
      <c r="F128" s="15"/>
      <c r="G128" s="14"/>
      <c r="H128" s="15"/>
      <c r="I128" s="15"/>
      <c r="J128" s="16"/>
      <c r="K128" s="12"/>
      <c r="L128" s="12"/>
      <c r="M128" s="16"/>
      <c r="N128" s="12"/>
      <c r="O128" s="17"/>
      <c r="P128" s="16"/>
      <c r="Q128" s="12"/>
      <c r="R128" s="15"/>
      <c r="S128" s="16" t="str">
        <f aca="false">IF(B128="","",IF(M128="Desestimada","Cerrado - desestimada",IF(AND(M128="Aplicada",OR(P128="Pagada",P128="Incluida en expensas")),"Cerrado - multa cobrada",IF(M128="Aplicada","Multa aplicada - impaga",IF(L128&lt;&gt;"","Descargo respondido - a resolver",IF(J128="Sí","Esperando respuesta descargo","Pendiente enviar descargo"))))))</f>
        <v/>
      </c>
      <c r="T128" s="18" t="str">
        <f aca="true">IF(B128="","",TODAY()-B128)</f>
        <v/>
      </c>
    </row>
    <row r="129" customFormat="false" ht="15" hidden="false" customHeight="false" outlineLevel="0" collapsed="false">
      <c r="A129" s="11" t="str">
        <f aca="false">IF(B129="","",ROW()-3)</f>
        <v/>
      </c>
      <c r="B129" s="12"/>
      <c r="C129" s="13"/>
      <c r="D129" s="14"/>
      <c r="E129" s="11"/>
      <c r="F129" s="15"/>
      <c r="G129" s="14"/>
      <c r="H129" s="15"/>
      <c r="I129" s="15"/>
      <c r="J129" s="16"/>
      <c r="K129" s="12"/>
      <c r="L129" s="12"/>
      <c r="M129" s="16"/>
      <c r="N129" s="12"/>
      <c r="O129" s="17"/>
      <c r="P129" s="16"/>
      <c r="Q129" s="12"/>
      <c r="R129" s="15"/>
      <c r="S129" s="16" t="str">
        <f aca="false">IF(B129="","",IF(M129="Desestimada","Cerrado - desestimada",IF(AND(M129="Aplicada",OR(P129="Pagada",P129="Incluida en expensas")),"Cerrado - multa cobrada",IF(M129="Aplicada","Multa aplicada - impaga",IF(L129&lt;&gt;"","Descargo respondido - a resolver",IF(J129="Sí","Esperando respuesta descargo","Pendiente enviar descargo"))))))</f>
        <v/>
      </c>
      <c r="T129" s="18" t="str">
        <f aca="true">IF(B129="","",TODAY()-B129)</f>
        <v/>
      </c>
    </row>
    <row r="130" customFormat="false" ht="15" hidden="false" customHeight="false" outlineLevel="0" collapsed="false">
      <c r="A130" s="11" t="str">
        <f aca="false">IF(B130="","",ROW()-3)</f>
        <v/>
      </c>
      <c r="B130" s="12"/>
      <c r="C130" s="13"/>
      <c r="D130" s="14"/>
      <c r="E130" s="11"/>
      <c r="F130" s="15"/>
      <c r="G130" s="14"/>
      <c r="H130" s="15"/>
      <c r="I130" s="15"/>
      <c r="J130" s="16"/>
      <c r="K130" s="12"/>
      <c r="L130" s="12"/>
      <c r="M130" s="16"/>
      <c r="N130" s="12"/>
      <c r="O130" s="17"/>
      <c r="P130" s="16"/>
      <c r="Q130" s="12"/>
      <c r="R130" s="15"/>
      <c r="S130" s="16" t="str">
        <f aca="false">IF(B130="","",IF(M130="Desestimada","Cerrado - desestimada",IF(AND(M130="Aplicada",OR(P130="Pagada",P130="Incluida en expensas")),"Cerrado - multa cobrada",IF(M130="Aplicada","Multa aplicada - impaga",IF(L130&lt;&gt;"","Descargo respondido - a resolver",IF(J130="Sí","Esperando respuesta descargo","Pendiente enviar descargo"))))))</f>
        <v/>
      </c>
      <c r="T130" s="18" t="str">
        <f aca="true">IF(B130="","",TODAY()-B130)</f>
        <v/>
      </c>
    </row>
    <row r="131" customFormat="false" ht="15" hidden="false" customHeight="false" outlineLevel="0" collapsed="false">
      <c r="A131" s="11" t="str">
        <f aca="false">IF(B131="","",ROW()-3)</f>
        <v/>
      </c>
      <c r="B131" s="12"/>
      <c r="C131" s="13"/>
      <c r="D131" s="14"/>
      <c r="E131" s="11"/>
      <c r="F131" s="15"/>
      <c r="G131" s="14"/>
      <c r="H131" s="15"/>
      <c r="I131" s="15"/>
      <c r="J131" s="16"/>
      <c r="K131" s="12"/>
      <c r="L131" s="12"/>
      <c r="M131" s="16"/>
      <c r="N131" s="12"/>
      <c r="O131" s="17"/>
      <c r="P131" s="16"/>
      <c r="Q131" s="12"/>
      <c r="R131" s="15"/>
      <c r="S131" s="16" t="str">
        <f aca="false">IF(B131="","",IF(M131="Desestimada","Cerrado - desestimada",IF(AND(M131="Aplicada",OR(P131="Pagada",P131="Incluida en expensas")),"Cerrado - multa cobrada",IF(M131="Aplicada","Multa aplicada - impaga",IF(L131&lt;&gt;"","Descargo respondido - a resolver",IF(J131="Sí","Esperando respuesta descargo","Pendiente enviar descargo"))))))</f>
        <v/>
      </c>
      <c r="T131" s="18" t="str">
        <f aca="true">IF(B131="","",TODAY()-B131)</f>
        <v/>
      </c>
    </row>
    <row r="132" customFormat="false" ht="15" hidden="false" customHeight="false" outlineLevel="0" collapsed="false">
      <c r="A132" s="11" t="str">
        <f aca="false">IF(B132="","",ROW()-3)</f>
        <v/>
      </c>
      <c r="B132" s="12"/>
      <c r="C132" s="13"/>
      <c r="D132" s="14"/>
      <c r="E132" s="11"/>
      <c r="F132" s="15"/>
      <c r="G132" s="14"/>
      <c r="H132" s="15"/>
      <c r="I132" s="15"/>
      <c r="J132" s="16"/>
      <c r="K132" s="12"/>
      <c r="L132" s="12"/>
      <c r="M132" s="16"/>
      <c r="N132" s="12"/>
      <c r="O132" s="17"/>
      <c r="P132" s="16"/>
      <c r="Q132" s="12"/>
      <c r="R132" s="15"/>
      <c r="S132" s="16" t="str">
        <f aca="false">IF(B132="","",IF(M132="Desestimada","Cerrado - desestimada",IF(AND(M132="Aplicada",OR(P132="Pagada",P132="Incluida en expensas")),"Cerrado - multa cobrada",IF(M132="Aplicada","Multa aplicada - impaga",IF(L132&lt;&gt;"","Descargo respondido - a resolver",IF(J132="Sí","Esperando respuesta descargo","Pendiente enviar descargo"))))))</f>
        <v/>
      </c>
      <c r="T132" s="18" t="str">
        <f aca="true">IF(B132="","",TODAY()-B132)</f>
        <v/>
      </c>
    </row>
    <row r="133" customFormat="false" ht="15" hidden="false" customHeight="false" outlineLevel="0" collapsed="false">
      <c r="A133" s="11" t="str">
        <f aca="false">IF(B133="","",ROW()-3)</f>
        <v/>
      </c>
      <c r="B133" s="12"/>
      <c r="C133" s="13"/>
      <c r="D133" s="14"/>
      <c r="E133" s="11"/>
      <c r="F133" s="15"/>
      <c r="G133" s="14"/>
      <c r="H133" s="15"/>
      <c r="I133" s="15"/>
      <c r="J133" s="16"/>
      <c r="K133" s="12"/>
      <c r="L133" s="12"/>
      <c r="M133" s="16"/>
      <c r="N133" s="12"/>
      <c r="O133" s="17"/>
      <c r="P133" s="16"/>
      <c r="Q133" s="12"/>
      <c r="R133" s="15"/>
      <c r="S133" s="16" t="str">
        <f aca="false">IF(B133="","",IF(M133="Desestimada","Cerrado - desestimada",IF(AND(M133="Aplicada",OR(P133="Pagada",P133="Incluida en expensas")),"Cerrado - multa cobrada",IF(M133="Aplicada","Multa aplicada - impaga",IF(L133&lt;&gt;"","Descargo respondido - a resolver",IF(J133="Sí","Esperando respuesta descargo","Pendiente enviar descargo"))))))</f>
        <v/>
      </c>
      <c r="T133" s="18" t="str">
        <f aca="true">IF(B133="","",TODAY()-B133)</f>
        <v/>
      </c>
    </row>
    <row r="134" customFormat="false" ht="15" hidden="false" customHeight="false" outlineLevel="0" collapsed="false">
      <c r="A134" s="11" t="str">
        <f aca="false">IF(B134="","",ROW()-3)</f>
        <v/>
      </c>
      <c r="B134" s="12"/>
      <c r="C134" s="13"/>
      <c r="D134" s="14"/>
      <c r="E134" s="11"/>
      <c r="F134" s="15"/>
      <c r="G134" s="14"/>
      <c r="H134" s="15"/>
      <c r="I134" s="15"/>
      <c r="J134" s="16"/>
      <c r="K134" s="12"/>
      <c r="L134" s="12"/>
      <c r="M134" s="16"/>
      <c r="N134" s="12"/>
      <c r="O134" s="17"/>
      <c r="P134" s="16"/>
      <c r="Q134" s="12"/>
      <c r="R134" s="15"/>
      <c r="S134" s="16" t="str">
        <f aca="false">IF(B134="","",IF(M134="Desestimada","Cerrado - desestimada",IF(AND(M134="Aplicada",OR(P134="Pagada",P134="Incluida en expensas")),"Cerrado - multa cobrada",IF(M134="Aplicada","Multa aplicada - impaga",IF(L134&lt;&gt;"","Descargo respondido - a resolver",IF(J134="Sí","Esperando respuesta descargo","Pendiente enviar descargo"))))))</f>
        <v/>
      </c>
      <c r="T134" s="18" t="str">
        <f aca="true">IF(B134="","",TODAY()-B134)</f>
        <v/>
      </c>
    </row>
    <row r="135" customFormat="false" ht="15" hidden="false" customHeight="false" outlineLevel="0" collapsed="false">
      <c r="A135" s="11" t="str">
        <f aca="false">IF(B135="","",ROW()-3)</f>
        <v/>
      </c>
      <c r="B135" s="12"/>
      <c r="C135" s="13"/>
      <c r="D135" s="14"/>
      <c r="E135" s="11"/>
      <c r="F135" s="15"/>
      <c r="G135" s="14"/>
      <c r="H135" s="15"/>
      <c r="I135" s="15"/>
      <c r="J135" s="16"/>
      <c r="K135" s="12"/>
      <c r="L135" s="12"/>
      <c r="M135" s="16"/>
      <c r="N135" s="12"/>
      <c r="O135" s="17"/>
      <c r="P135" s="16"/>
      <c r="Q135" s="12"/>
      <c r="R135" s="15"/>
      <c r="S135" s="16" t="str">
        <f aca="false">IF(B135="","",IF(M135="Desestimada","Cerrado - desestimada",IF(AND(M135="Aplicada",OR(P135="Pagada",P135="Incluida en expensas")),"Cerrado - multa cobrada",IF(M135="Aplicada","Multa aplicada - impaga",IF(L135&lt;&gt;"","Descargo respondido - a resolver",IF(J135="Sí","Esperando respuesta descargo","Pendiente enviar descargo"))))))</f>
        <v/>
      </c>
      <c r="T135" s="18" t="str">
        <f aca="true">IF(B135="","",TODAY()-B135)</f>
        <v/>
      </c>
    </row>
    <row r="136" customFormat="false" ht="15" hidden="false" customHeight="false" outlineLevel="0" collapsed="false">
      <c r="A136" s="11" t="str">
        <f aca="false">IF(B136="","",ROW()-3)</f>
        <v/>
      </c>
      <c r="B136" s="12"/>
      <c r="C136" s="13"/>
      <c r="D136" s="14"/>
      <c r="E136" s="11"/>
      <c r="F136" s="15"/>
      <c r="G136" s="14"/>
      <c r="H136" s="15"/>
      <c r="I136" s="15"/>
      <c r="J136" s="16"/>
      <c r="K136" s="12"/>
      <c r="L136" s="12"/>
      <c r="M136" s="16"/>
      <c r="N136" s="12"/>
      <c r="O136" s="17"/>
      <c r="P136" s="16"/>
      <c r="Q136" s="12"/>
      <c r="R136" s="15"/>
      <c r="S136" s="16" t="str">
        <f aca="false">IF(B136="","",IF(M136="Desestimada","Cerrado - desestimada",IF(AND(M136="Aplicada",OR(P136="Pagada",P136="Incluida en expensas")),"Cerrado - multa cobrada",IF(M136="Aplicada","Multa aplicada - impaga",IF(L136&lt;&gt;"","Descargo respondido - a resolver",IF(J136="Sí","Esperando respuesta descargo","Pendiente enviar descargo"))))))</f>
        <v/>
      </c>
      <c r="T136" s="18" t="str">
        <f aca="true">IF(B136="","",TODAY()-B136)</f>
        <v/>
      </c>
    </row>
    <row r="137" customFormat="false" ht="15" hidden="false" customHeight="false" outlineLevel="0" collapsed="false">
      <c r="A137" s="11" t="str">
        <f aca="false">IF(B137="","",ROW()-3)</f>
        <v/>
      </c>
      <c r="B137" s="12"/>
      <c r="C137" s="13"/>
      <c r="D137" s="14"/>
      <c r="E137" s="11"/>
      <c r="F137" s="15"/>
      <c r="G137" s="14"/>
      <c r="H137" s="15"/>
      <c r="I137" s="15"/>
      <c r="J137" s="16"/>
      <c r="K137" s="12"/>
      <c r="L137" s="12"/>
      <c r="M137" s="16"/>
      <c r="N137" s="12"/>
      <c r="O137" s="17"/>
      <c r="P137" s="16"/>
      <c r="Q137" s="12"/>
      <c r="R137" s="15"/>
      <c r="S137" s="16" t="str">
        <f aca="false">IF(B137="","",IF(M137="Desestimada","Cerrado - desestimada",IF(AND(M137="Aplicada",OR(P137="Pagada",P137="Incluida en expensas")),"Cerrado - multa cobrada",IF(M137="Aplicada","Multa aplicada - impaga",IF(L137&lt;&gt;"","Descargo respondido - a resolver",IF(J137="Sí","Esperando respuesta descargo","Pendiente enviar descargo"))))))</f>
        <v/>
      </c>
      <c r="T137" s="18" t="str">
        <f aca="true">IF(B137="","",TODAY()-B137)</f>
        <v/>
      </c>
    </row>
    <row r="138" customFormat="false" ht="15" hidden="false" customHeight="false" outlineLevel="0" collapsed="false">
      <c r="A138" s="11" t="str">
        <f aca="false">IF(B138="","",ROW()-3)</f>
        <v/>
      </c>
      <c r="B138" s="12"/>
      <c r="C138" s="13"/>
      <c r="D138" s="14"/>
      <c r="E138" s="11"/>
      <c r="F138" s="15"/>
      <c r="G138" s="14"/>
      <c r="H138" s="15"/>
      <c r="I138" s="15"/>
      <c r="J138" s="16"/>
      <c r="K138" s="12"/>
      <c r="L138" s="12"/>
      <c r="M138" s="16"/>
      <c r="N138" s="12"/>
      <c r="O138" s="17"/>
      <c r="P138" s="16"/>
      <c r="Q138" s="12"/>
      <c r="R138" s="15"/>
      <c r="S138" s="16" t="str">
        <f aca="false">IF(B138="","",IF(M138="Desestimada","Cerrado - desestimada",IF(AND(M138="Aplicada",OR(P138="Pagada",P138="Incluida en expensas")),"Cerrado - multa cobrada",IF(M138="Aplicada","Multa aplicada - impaga",IF(L138&lt;&gt;"","Descargo respondido - a resolver",IF(J138="Sí","Esperando respuesta descargo","Pendiente enviar descargo"))))))</f>
        <v/>
      </c>
      <c r="T138" s="18" t="str">
        <f aca="true">IF(B138="","",TODAY()-B138)</f>
        <v/>
      </c>
    </row>
    <row r="139" customFormat="false" ht="15" hidden="false" customHeight="false" outlineLevel="0" collapsed="false">
      <c r="A139" s="11" t="str">
        <f aca="false">IF(B139="","",ROW()-3)</f>
        <v/>
      </c>
      <c r="B139" s="12"/>
      <c r="C139" s="13"/>
      <c r="D139" s="14"/>
      <c r="E139" s="11"/>
      <c r="F139" s="15"/>
      <c r="G139" s="14"/>
      <c r="H139" s="15"/>
      <c r="I139" s="15"/>
      <c r="J139" s="16"/>
      <c r="K139" s="12"/>
      <c r="L139" s="12"/>
      <c r="M139" s="16"/>
      <c r="N139" s="12"/>
      <c r="O139" s="17"/>
      <c r="P139" s="16"/>
      <c r="Q139" s="12"/>
      <c r="R139" s="15"/>
      <c r="S139" s="16" t="str">
        <f aca="false">IF(B139="","",IF(M139="Desestimada","Cerrado - desestimada",IF(AND(M139="Aplicada",OR(P139="Pagada",P139="Incluida en expensas")),"Cerrado - multa cobrada",IF(M139="Aplicada","Multa aplicada - impaga",IF(L139&lt;&gt;"","Descargo respondido - a resolver",IF(J139="Sí","Esperando respuesta descargo","Pendiente enviar descargo"))))))</f>
        <v/>
      </c>
      <c r="T139" s="18" t="str">
        <f aca="true">IF(B139="","",TODAY()-B139)</f>
        <v/>
      </c>
    </row>
    <row r="140" customFormat="false" ht="15" hidden="false" customHeight="false" outlineLevel="0" collapsed="false">
      <c r="A140" s="11" t="str">
        <f aca="false">IF(B140="","",ROW()-3)</f>
        <v/>
      </c>
      <c r="B140" s="12"/>
      <c r="C140" s="13"/>
      <c r="D140" s="14"/>
      <c r="E140" s="11"/>
      <c r="F140" s="15"/>
      <c r="G140" s="14"/>
      <c r="H140" s="15"/>
      <c r="I140" s="15"/>
      <c r="J140" s="16"/>
      <c r="K140" s="12"/>
      <c r="L140" s="12"/>
      <c r="M140" s="16"/>
      <c r="N140" s="12"/>
      <c r="O140" s="17"/>
      <c r="P140" s="16"/>
      <c r="Q140" s="12"/>
      <c r="R140" s="15"/>
      <c r="S140" s="16" t="str">
        <f aca="false">IF(B140="","",IF(M140="Desestimada","Cerrado - desestimada",IF(AND(M140="Aplicada",OR(P140="Pagada",P140="Incluida en expensas")),"Cerrado - multa cobrada",IF(M140="Aplicada","Multa aplicada - impaga",IF(L140&lt;&gt;"","Descargo respondido - a resolver",IF(J140="Sí","Esperando respuesta descargo","Pendiente enviar descargo"))))))</f>
        <v/>
      </c>
      <c r="T140" s="18" t="str">
        <f aca="true">IF(B140="","",TODAY()-B140)</f>
        <v/>
      </c>
    </row>
    <row r="141" customFormat="false" ht="15" hidden="false" customHeight="false" outlineLevel="0" collapsed="false">
      <c r="A141" s="11" t="str">
        <f aca="false">IF(B141="","",ROW()-3)</f>
        <v/>
      </c>
      <c r="B141" s="12"/>
      <c r="C141" s="13"/>
      <c r="D141" s="14"/>
      <c r="E141" s="11"/>
      <c r="F141" s="15"/>
      <c r="G141" s="14"/>
      <c r="H141" s="15"/>
      <c r="I141" s="15"/>
      <c r="J141" s="16"/>
      <c r="K141" s="12"/>
      <c r="L141" s="12"/>
      <c r="M141" s="16"/>
      <c r="N141" s="12"/>
      <c r="O141" s="17"/>
      <c r="P141" s="16"/>
      <c r="Q141" s="12"/>
      <c r="R141" s="15"/>
      <c r="S141" s="16" t="str">
        <f aca="false">IF(B141="","",IF(M141="Desestimada","Cerrado - desestimada",IF(AND(M141="Aplicada",OR(P141="Pagada",P141="Incluida en expensas")),"Cerrado - multa cobrada",IF(M141="Aplicada","Multa aplicada - impaga",IF(L141&lt;&gt;"","Descargo respondido - a resolver",IF(J141="Sí","Esperando respuesta descargo","Pendiente enviar descargo"))))))</f>
        <v/>
      </c>
      <c r="T141" s="18" t="str">
        <f aca="true">IF(B141="","",TODAY()-B141)</f>
        <v/>
      </c>
    </row>
    <row r="142" customFormat="false" ht="15" hidden="false" customHeight="false" outlineLevel="0" collapsed="false">
      <c r="A142" s="11" t="str">
        <f aca="false">IF(B142="","",ROW()-3)</f>
        <v/>
      </c>
      <c r="B142" s="12"/>
      <c r="C142" s="13"/>
      <c r="D142" s="14"/>
      <c r="E142" s="11"/>
      <c r="F142" s="15"/>
      <c r="G142" s="14"/>
      <c r="H142" s="15"/>
      <c r="I142" s="15"/>
      <c r="J142" s="16"/>
      <c r="K142" s="12"/>
      <c r="L142" s="12"/>
      <c r="M142" s="16"/>
      <c r="N142" s="12"/>
      <c r="O142" s="17"/>
      <c r="P142" s="16"/>
      <c r="Q142" s="12"/>
      <c r="R142" s="15"/>
      <c r="S142" s="16" t="str">
        <f aca="false">IF(B142="","",IF(M142="Desestimada","Cerrado - desestimada",IF(AND(M142="Aplicada",OR(P142="Pagada",P142="Incluida en expensas")),"Cerrado - multa cobrada",IF(M142="Aplicada","Multa aplicada - impaga",IF(L142&lt;&gt;"","Descargo respondido - a resolver",IF(J142="Sí","Esperando respuesta descargo","Pendiente enviar descargo"))))))</f>
        <v/>
      </c>
      <c r="T142" s="18" t="str">
        <f aca="true">IF(B142="","",TODAY()-B142)</f>
        <v/>
      </c>
    </row>
    <row r="143" customFormat="false" ht="15" hidden="false" customHeight="false" outlineLevel="0" collapsed="false">
      <c r="A143" s="11" t="str">
        <f aca="false">IF(B143="","",ROW()-3)</f>
        <v/>
      </c>
      <c r="B143" s="12"/>
      <c r="C143" s="13"/>
      <c r="D143" s="14"/>
      <c r="E143" s="11"/>
      <c r="F143" s="15"/>
      <c r="G143" s="14"/>
      <c r="H143" s="15"/>
      <c r="I143" s="15"/>
      <c r="J143" s="16"/>
      <c r="K143" s="12"/>
      <c r="L143" s="12"/>
      <c r="M143" s="16"/>
      <c r="N143" s="12"/>
      <c r="O143" s="17"/>
      <c r="P143" s="16"/>
      <c r="Q143" s="12"/>
      <c r="R143" s="15"/>
      <c r="S143" s="16" t="str">
        <f aca="false">IF(B143="","",IF(M143="Desestimada","Cerrado - desestimada",IF(AND(M143="Aplicada",OR(P143="Pagada",P143="Incluida en expensas")),"Cerrado - multa cobrada",IF(M143="Aplicada","Multa aplicada - impaga",IF(L143&lt;&gt;"","Descargo respondido - a resolver",IF(J143="Sí","Esperando respuesta descargo","Pendiente enviar descargo"))))))</f>
        <v/>
      </c>
      <c r="T143" s="18" t="str">
        <f aca="true">IF(B143="","",TODAY()-B143)</f>
        <v/>
      </c>
    </row>
    <row r="144" customFormat="false" ht="15" hidden="false" customHeight="false" outlineLevel="0" collapsed="false">
      <c r="A144" s="11" t="str">
        <f aca="false">IF(B144="","",ROW()-3)</f>
        <v/>
      </c>
      <c r="B144" s="12"/>
      <c r="C144" s="13"/>
      <c r="D144" s="14"/>
      <c r="E144" s="11"/>
      <c r="F144" s="15"/>
      <c r="G144" s="14"/>
      <c r="H144" s="15"/>
      <c r="I144" s="15"/>
      <c r="J144" s="16"/>
      <c r="K144" s="12"/>
      <c r="L144" s="12"/>
      <c r="M144" s="16"/>
      <c r="N144" s="12"/>
      <c r="O144" s="17"/>
      <c r="P144" s="16"/>
      <c r="Q144" s="12"/>
      <c r="R144" s="15"/>
      <c r="S144" s="16" t="str">
        <f aca="false">IF(B144="","",IF(M144="Desestimada","Cerrado - desestimada",IF(AND(M144="Aplicada",OR(P144="Pagada",P144="Incluida en expensas")),"Cerrado - multa cobrada",IF(M144="Aplicada","Multa aplicada - impaga",IF(L144&lt;&gt;"","Descargo respondido - a resolver",IF(J144="Sí","Esperando respuesta descargo","Pendiente enviar descargo"))))))</f>
        <v/>
      </c>
      <c r="T144" s="18" t="str">
        <f aca="true">IF(B144="","",TODAY()-B144)</f>
        <v/>
      </c>
    </row>
    <row r="145" customFormat="false" ht="15" hidden="false" customHeight="false" outlineLevel="0" collapsed="false">
      <c r="A145" s="11" t="str">
        <f aca="false">IF(B145="","",ROW()-3)</f>
        <v/>
      </c>
      <c r="B145" s="12"/>
      <c r="C145" s="13"/>
      <c r="D145" s="14"/>
      <c r="E145" s="11"/>
      <c r="F145" s="15"/>
      <c r="G145" s="14"/>
      <c r="H145" s="15"/>
      <c r="I145" s="15"/>
      <c r="J145" s="16"/>
      <c r="K145" s="12"/>
      <c r="L145" s="12"/>
      <c r="M145" s="16"/>
      <c r="N145" s="12"/>
      <c r="O145" s="17"/>
      <c r="P145" s="16"/>
      <c r="Q145" s="12"/>
      <c r="R145" s="15"/>
      <c r="S145" s="16" t="str">
        <f aca="false">IF(B145="","",IF(M145="Desestimada","Cerrado - desestimada",IF(AND(M145="Aplicada",OR(P145="Pagada",P145="Incluida en expensas")),"Cerrado - multa cobrada",IF(M145="Aplicada","Multa aplicada - impaga",IF(L145&lt;&gt;"","Descargo respondido - a resolver",IF(J145="Sí","Esperando respuesta descargo","Pendiente enviar descargo"))))))</f>
        <v/>
      </c>
      <c r="T145" s="18" t="str">
        <f aca="true">IF(B145="","",TODAY()-B145)</f>
        <v/>
      </c>
    </row>
    <row r="146" customFormat="false" ht="15" hidden="false" customHeight="false" outlineLevel="0" collapsed="false">
      <c r="A146" s="11" t="str">
        <f aca="false">IF(B146="","",ROW()-3)</f>
        <v/>
      </c>
      <c r="B146" s="12"/>
      <c r="C146" s="13"/>
      <c r="D146" s="14"/>
      <c r="E146" s="11"/>
      <c r="F146" s="15"/>
      <c r="G146" s="14"/>
      <c r="H146" s="15"/>
      <c r="I146" s="15"/>
      <c r="J146" s="16"/>
      <c r="K146" s="12"/>
      <c r="L146" s="12"/>
      <c r="M146" s="16"/>
      <c r="N146" s="12"/>
      <c r="O146" s="17"/>
      <c r="P146" s="16"/>
      <c r="Q146" s="12"/>
      <c r="R146" s="15"/>
      <c r="S146" s="16" t="str">
        <f aca="false">IF(B146="","",IF(M146="Desestimada","Cerrado - desestimada",IF(AND(M146="Aplicada",OR(P146="Pagada",P146="Incluida en expensas")),"Cerrado - multa cobrada",IF(M146="Aplicada","Multa aplicada - impaga",IF(L146&lt;&gt;"","Descargo respondido - a resolver",IF(J146="Sí","Esperando respuesta descargo","Pendiente enviar descargo"))))))</f>
        <v/>
      </c>
      <c r="T146" s="18" t="str">
        <f aca="true">IF(B146="","",TODAY()-B146)</f>
        <v/>
      </c>
    </row>
    <row r="147" customFormat="false" ht="15" hidden="false" customHeight="false" outlineLevel="0" collapsed="false">
      <c r="A147" s="11" t="str">
        <f aca="false">IF(B147="","",ROW()-3)</f>
        <v/>
      </c>
      <c r="B147" s="12"/>
      <c r="C147" s="13"/>
      <c r="D147" s="14"/>
      <c r="E147" s="11"/>
      <c r="F147" s="15"/>
      <c r="G147" s="14"/>
      <c r="H147" s="15"/>
      <c r="I147" s="15"/>
      <c r="J147" s="16"/>
      <c r="K147" s="12"/>
      <c r="L147" s="12"/>
      <c r="M147" s="16"/>
      <c r="N147" s="12"/>
      <c r="O147" s="17"/>
      <c r="P147" s="16"/>
      <c r="Q147" s="12"/>
      <c r="R147" s="15"/>
      <c r="S147" s="16" t="str">
        <f aca="false">IF(B147="","",IF(M147="Desestimada","Cerrado - desestimada",IF(AND(M147="Aplicada",OR(P147="Pagada",P147="Incluida en expensas")),"Cerrado - multa cobrada",IF(M147="Aplicada","Multa aplicada - impaga",IF(L147&lt;&gt;"","Descargo respondido - a resolver",IF(J147="Sí","Esperando respuesta descargo","Pendiente enviar descargo"))))))</f>
        <v/>
      </c>
      <c r="T147" s="18" t="str">
        <f aca="true">IF(B147="","",TODAY()-B147)</f>
        <v/>
      </c>
    </row>
    <row r="148" customFormat="false" ht="15" hidden="false" customHeight="false" outlineLevel="0" collapsed="false">
      <c r="A148" s="11" t="str">
        <f aca="false">IF(B148="","",ROW()-3)</f>
        <v/>
      </c>
      <c r="B148" s="12"/>
      <c r="C148" s="13"/>
      <c r="D148" s="14"/>
      <c r="E148" s="11"/>
      <c r="F148" s="15"/>
      <c r="G148" s="14"/>
      <c r="H148" s="15"/>
      <c r="I148" s="15"/>
      <c r="J148" s="16"/>
      <c r="K148" s="12"/>
      <c r="L148" s="12"/>
      <c r="M148" s="16"/>
      <c r="N148" s="12"/>
      <c r="O148" s="17"/>
      <c r="P148" s="16"/>
      <c r="Q148" s="12"/>
      <c r="R148" s="15"/>
      <c r="S148" s="16" t="str">
        <f aca="false">IF(B148="","",IF(M148="Desestimada","Cerrado - desestimada",IF(AND(M148="Aplicada",OR(P148="Pagada",P148="Incluida en expensas")),"Cerrado - multa cobrada",IF(M148="Aplicada","Multa aplicada - impaga",IF(L148&lt;&gt;"","Descargo respondido - a resolver",IF(J148="Sí","Esperando respuesta descargo","Pendiente enviar descargo"))))))</f>
        <v/>
      </c>
      <c r="T148" s="18" t="str">
        <f aca="true">IF(B148="","",TODAY()-B148)</f>
        <v/>
      </c>
    </row>
    <row r="149" customFormat="false" ht="15" hidden="false" customHeight="false" outlineLevel="0" collapsed="false">
      <c r="A149" s="11" t="str">
        <f aca="false">IF(B149="","",ROW()-3)</f>
        <v/>
      </c>
      <c r="B149" s="12"/>
      <c r="C149" s="13"/>
      <c r="D149" s="14"/>
      <c r="E149" s="11"/>
      <c r="F149" s="15"/>
      <c r="G149" s="14"/>
      <c r="H149" s="15"/>
      <c r="I149" s="15"/>
      <c r="J149" s="16"/>
      <c r="K149" s="12"/>
      <c r="L149" s="12"/>
      <c r="M149" s="16"/>
      <c r="N149" s="12"/>
      <c r="O149" s="17"/>
      <c r="P149" s="16"/>
      <c r="Q149" s="12"/>
      <c r="R149" s="15"/>
      <c r="S149" s="16" t="str">
        <f aca="false">IF(B149="","",IF(M149="Desestimada","Cerrado - desestimada",IF(AND(M149="Aplicada",OR(P149="Pagada",P149="Incluida en expensas")),"Cerrado - multa cobrada",IF(M149="Aplicada","Multa aplicada - impaga",IF(L149&lt;&gt;"","Descargo respondido - a resolver",IF(J149="Sí","Esperando respuesta descargo","Pendiente enviar descargo"))))))</f>
        <v/>
      </c>
      <c r="T149" s="18" t="str">
        <f aca="true">IF(B149="","",TODAY()-B149)</f>
        <v/>
      </c>
    </row>
    <row r="150" customFormat="false" ht="15" hidden="false" customHeight="false" outlineLevel="0" collapsed="false">
      <c r="A150" s="11" t="str">
        <f aca="false">IF(B150="","",ROW()-3)</f>
        <v/>
      </c>
      <c r="B150" s="12"/>
      <c r="C150" s="13"/>
      <c r="D150" s="14"/>
      <c r="E150" s="11"/>
      <c r="F150" s="15"/>
      <c r="G150" s="14"/>
      <c r="H150" s="15"/>
      <c r="I150" s="15"/>
      <c r="J150" s="16"/>
      <c r="K150" s="12"/>
      <c r="L150" s="12"/>
      <c r="M150" s="16"/>
      <c r="N150" s="12"/>
      <c r="O150" s="17"/>
      <c r="P150" s="16"/>
      <c r="Q150" s="12"/>
      <c r="R150" s="15"/>
      <c r="S150" s="16" t="str">
        <f aca="false">IF(B150="","",IF(M150="Desestimada","Cerrado - desestimada",IF(AND(M150="Aplicada",OR(P150="Pagada",P150="Incluida en expensas")),"Cerrado - multa cobrada",IF(M150="Aplicada","Multa aplicada - impaga",IF(L150&lt;&gt;"","Descargo respondido - a resolver",IF(J150="Sí","Esperando respuesta descargo","Pendiente enviar descargo"))))))</f>
        <v/>
      </c>
      <c r="T150" s="18" t="str">
        <f aca="true">IF(B150="","",TODAY()-B150)</f>
        <v/>
      </c>
    </row>
    <row r="151" customFormat="false" ht="15" hidden="false" customHeight="false" outlineLevel="0" collapsed="false">
      <c r="A151" s="11" t="str">
        <f aca="false">IF(B151="","",ROW()-3)</f>
        <v/>
      </c>
      <c r="B151" s="12"/>
      <c r="C151" s="13"/>
      <c r="D151" s="14"/>
      <c r="E151" s="11"/>
      <c r="F151" s="15"/>
      <c r="G151" s="14"/>
      <c r="H151" s="15"/>
      <c r="I151" s="15"/>
      <c r="J151" s="16"/>
      <c r="K151" s="12"/>
      <c r="L151" s="12"/>
      <c r="M151" s="16"/>
      <c r="N151" s="12"/>
      <c r="O151" s="17"/>
      <c r="P151" s="16"/>
      <c r="Q151" s="12"/>
      <c r="R151" s="15"/>
      <c r="S151" s="16" t="str">
        <f aca="false">IF(B151="","",IF(M151="Desestimada","Cerrado - desestimada",IF(AND(M151="Aplicada",OR(P151="Pagada",P151="Incluida en expensas")),"Cerrado - multa cobrada",IF(M151="Aplicada","Multa aplicada - impaga",IF(L151&lt;&gt;"","Descargo respondido - a resolver",IF(J151="Sí","Esperando respuesta descargo","Pendiente enviar descargo"))))))</f>
        <v/>
      </c>
      <c r="T151" s="18" t="str">
        <f aca="true">IF(B151="","",TODAY()-B151)</f>
        <v/>
      </c>
    </row>
    <row r="152" customFormat="false" ht="15" hidden="false" customHeight="false" outlineLevel="0" collapsed="false">
      <c r="A152" s="11" t="str">
        <f aca="false">IF(B152="","",ROW()-3)</f>
        <v/>
      </c>
      <c r="B152" s="12"/>
      <c r="C152" s="13"/>
      <c r="D152" s="14"/>
      <c r="E152" s="11"/>
      <c r="F152" s="15"/>
      <c r="G152" s="14"/>
      <c r="H152" s="15"/>
      <c r="I152" s="15"/>
      <c r="J152" s="16"/>
      <c r="K152" s="12"/>
      <c r="L152" s="12"/>
      <c r="M152" s="16"/>
      <c r="N152" s="12"/>
      <c r="O152" s="17"/>
      <c r="P152" s="16"/>
      <c r="Q152" s="12"/>
      <c r="R152" s="15"/>
      <c r="S152" s="16" t="str">
        <f aca="false">IF(B152="","",IF(M152="Desestimada","Cerrado - desestimada",IF(AND(M152="Aplicada",OR(P152="Pagada",P152="Incluida en expensas")),"Cerrado - multa cobrada",IF(M152="Aplicada","Multa aplicada - impaga",IF(L152&lt;&gt;"","Descargo respondido - a resolver",IF(J152="Sí","Esperando respuesta descargo","Pendiente enviar descargo"))))))</f>
        <v/>
      </c>
      <c r="T152" s="18" t="str">
        <f aca="true">IF(B152="","",TODAY()-B152)</f>
        <v/>
      </c>
    </row>
    <row r="153" customFormat="false" ht="15" hidden="false" customHeight="false" outlineLevel="0" collapsed="false">
      <c r="A153" s="11" t="str">
        <f aca="false">IF(B153="","",ROW()-3)</f>
        <v/>
      </c>
      <c r="B153" s="12"/>
      <c r="C153" s="13"/>
      <c r="D153" s="14"/>
      <c r="E153" s="11"/>
      <c r="F153" s="15"/>
      <c r="G153" s="14"/>
      <c r="H153" s="15"/>
      <c r="I153" s="15"/>
      <c r="J153" s="16"/>
      <c r="K153" s="12"/>
      <c r="L153" s="12"/>
      <c r="M153" s="16"/>
      <c r="N153" s="12"/>
      <c r="O153" s="17"/>
      <c r="P153" s="16"/>
      <c r="Q153" s="12"/>
      <c r="R153" s="15"/>
      <c r="S153" s="16" t="str">
        <f aca="false">IF(B153="","",IF(M153="Desestimada","Cerrado - desestimada",IF(AND(M153="Aplicada",OR(P153="Pagada",P153="Incluida en expensas")),"Cerrado - multa cobrada",IF(M153="Aplicada","Multa aplicada - impaga",IF(L153&lt;&gt;"","Descargo respondido - a resolver",IF(J153="Sí","Esperando respuesta descargo","Pendiente enviar descargo"))))))</f>
        <v/>
      </c>
      <c r="T153" s="18" t="str">
        <f aca="true">IF(B153="","",TODAY()-B153)</f>
        <v/>
      </c>
    </row>
    <row r="154" customFormat="false" ht="15" hidden="false" customHeight="false" outlineLevel="0" collapsed="false">
      <c r="A154" s="11" t="str">
        <f aca="false">IF(B154="","",ROW()-3)</f>
        <v/>
      </c>
      <c r="B154" s="12"/>
      <c r="C154" s="13"/>
      <c r="D154" s="14"/>
      <c r="E154" s="11"/>
      <c r="F154" s="15"/>
      <c r="G154" s="14"/>
      <c r="H154" s="15"/>
      <c r="I154" s="15"/>
      <c r="J154" s="16"/>
      <c r="K154" s="12"/>
      <c r="L154" s="12"/>
      <c r="M154" s="16"/>
      <c r="N154" s="12"/>
      <c r="O154" s="17"/>
      <c r="P154" s="16"/>
      <c r="Q154" s="12"/>
      <c r="R154" s="15"/>
      <c r="S154" s="16" t="str">
        <f aca="false">IF(B154="","",IF(M154="Desestimada","Cerrado - desestimada",IF(AND(M154="Aplicada",OR(P154="Pagada",P154="Incluida en expensas")),"Cerrado - multa cobrada",IF(M154="Aplicada","Multa aplicada - impaga",IF(L154&lt;&gt;"","Descargo respondido - a resolver",IF(J154="Sí","Esperando respuesta descargo","Pendiente enviar descargo"))))))</f>
        <v/>
      </c>
      <c r="T154" s="18" t="str">
        <f aca="true">IF(B154="","",TODAY()-B154)</f>
        <v/>
      </c>
    </row>
    <row r="155" customFormat="false" ht="15" hidden="false" customHeight="false" outlineLevel="0" collapsed="false">
      <c r="A155" s="11" t="str">
        <f aca="false">IF(B155="","",ROW()-3)</f>
        <v/>
      </c>
      <c r="B155" s="12"/>
      <c r="C155" s="13"/>
      <c r="D155" s="14"/>
      <c r="E155" s="11"/>
      <c r="F155" s="15"/>
      <c r="G155" s="14"/>
      <c r="H155" s="15"/>
      <c r="I155" s="15"/>
      <c r="J155" s="16"/>
      <c r="K155" s="12"/>
      <c r="L155" s="12"/>
      <c r="M155" s="16"/>
      <c r="N155" s="12"/>
      <c r="O155" s="17"/>
      <c r="P155" s="16"/>
      <c r="Q155" s="12"/>
      <c r="R155" s="15"/>
      <c r="S155" s="16" t="str">
        <f aca="false">IF(B155="","",IF(M155="Desestimada","Cerrado - desestimada",IF(AND(M155="Aplicada",OR(P155="Pagada",P155="Incluida en expensas")),"Cerrado - multa cobrada",IF(M155="Aplicada","Multa aplicada - impaga",IF(L155&lt;&gt;"","Descargo respondido - a resolver",IF(J155="Sí","Esperando respuesta descargo","Pendiente enviar descargo"))))))</f>
        <v/>
      </c>
      <c r="T155" s="18" t="str">
        <f aca="true">IF(B155="","",TODAY()-B155)</f>
        <v/>
      </c>
    </row>
    <row r="156" customFormat="false" ht="15" hidden="false" customHeight="false" outlineLevel="0" collapsed="false">
      <c r="A156" s="11" t="str">
        <f aca="false">IF(B156="","",ROW()-3)</f>
        <v/>
      </c>
      <c r="B156" s="12"/>
      <c r="C156" s="13"/>
      <c r="D156" s="14"/>
      <c r="E156" s="11"/>
      <c r="F156" s="15"/>
      <c r="G156" s="14"/>
      <c r="H156" s="15"/>
      <c r="I156" s="15"/>
      <c r="J156" s="16"/>
      <c r="K156" s="12"/>
      <c r="L156" s="12"/>
      <c r="M156" s="16"/>
      <c r="N156" s="12"/>
      <c r="O156" s="17"/>
      <c r="P156" s="16"/>
      <c r="Q156" s="12"/>
      <c r="R156" s="15"/>
      <c r="S156" s="16" t="str">
        <f aca="false">IF(B156="","",IF(M156="Desestimada","Cerrado - desestimada",IF(AND(M156="Aplicada",OR(P156="Pagada",P156="Incluida en expensas")),"Cerrado - multa cobrada",IF(M156="Aplicada","Multa aplicada - impaga",IF(L156&lt;&gt;"","Descargo respondido - a resolver",IF(J156="Sí","Esperando respuesta descargo","Pendiente enviar descargo"))))))</f>
        <v/>
      </c>
      <c r="T156" s="18" t="str">
        <f aca="true">IF(B156="","",TODAY()-B156)</f>
        <v/>
      </c>
    </row>
    <row r="157" customFormat="false" ht="15" hidden="false" customHeight="false" outlineLevel="0" collapsed="false">
      <c r="A157" s="11" t="str">
        <f aca="false">IF(B157="","",ROW()-3)</f>
        <v/>
      </c>
      <c r="B157" s="12"/>
      <c r="C157" s="13"/>
      <c r="D157" s="14"/>
      <c r="E157" s="11"/>
      <c r="F157" s="15"/>
      <c r="G157" s="14"/>
      <c r="H157" s="15"/>
      <c r="I157" s="15"/>
      <c r="J157" s="16"/>
      <c r="K157" s="12"/>
      <c r="L157" s="12"/>
      <c r="M157" s="16"/>
      <c r="N157" s="12"/>
      <c r="O157" s="17"/>
      <c r="P157" s="16"/>
      <c r="Q157" s="12"/>
      <c r="R157" s="15"/>
      <c r="S157" s="16" t="str">
        <f aca="false">IF(B157="","",IF(M157="Desestimada","Cerrado - desestimada",IF(AND(M157="Aplicada",OR(P157="Pagada",P157="Incluida en expensas")),"Cerrado - multa cobrada",IF(M157="Aplicada","Multa aplicada - impaga",IF(L157&lt;&gt;"","Descargo respondido - a resolver",IF(J157="Sí","Esperando respuesta descargo","Pendiente enviar descargo"))))))</f>
        <v/>
      </c>
      <c r="T157" s="18" t="str">
        <f aca="true">IF(B157="","",TODAY()-B157)</f>
        <v/>
      </c>
    </row>
    <row r="158" customFormat="false" ht="15" hidden="false" customHeight="false" outlineLevel="0" collapsed="false">
      <c r="A158" s="11" t="str">
        <f aca="false">IF(B158="","",ROW()-3)</f>
        <v/>
      </c>
      <c r="B158" s="12"/>
      <c r="C158" s="13"/>
      <c r="D158" s="14"/>
      <c r="E158" s="11"/>
      <c r="F158" s="15"/>
      <c r="G158" s="14"/>
      <c r="H158" s="15"/>
      <c r="I158" s="15"/>
      <c r="J158" s="16"/>
      <c r="K158" s="12"/>
      <c r="L158" s="12"/>
      <c r="M158" s="16"/>
      <c r="N158" s="12"/>
      <c r="O158" s="17"/>
      <c r="P158" s="16"/>
      <c r="Q158" s="12"/>
      <c r="R158" s="15"/>
      <c r="S158" s="16" t="str">
        <f aca="false">IF(B158="","",IF(M158="Desestimada","Cerrado - desestimada",IF(AND(M158="Aplicada",OR(P158="Pagada",P158="Incluida en expensas")),"Cerrado - multa cobrada",IF(M158="Aplicada","Multa aplicada - impaga",IF(L158&lt;&gt;"","Descargo respondido - a resolver",IF(J158="Sí","Esperando respuesta descargo","Pendiente enviar descargo"))))))</f>
        <v/>
      </c>
      <c r="T158" s="18" t="str">
        <f aca="true">IF(B158="","",TODAY()-B158)</f>
        <v/>
      </c>
    </row>
    <row r="159" customFormat="false" ht="15" hidden="false" customHeight="false" outlineLevel="0" collapsed="false">
      <c r="A159" s="11" t="str">
        <f aca="false">IF(B159="","",ROW()-3)</f>
        <v/>
      </c>
      <c r="B159" s="12"/>
      <c r="C159" s="13"/>
      <c r="D159" s="14"/>
      <c r="E159" s="11"/>
      <c r="F159" s="15"/>
      <c r="G159" s="14"/>
      <c r="H159" s="15"/>
      <c r="I159" s="15"/>
      <c r="J159" s="16"/>
      <c r="K159" s="12"/>
      <c r="L159" s="12"/>
      <c r="M159" s="16"/>
      <c r="N159" s="12"/>
      <c r="O159" s="17"/>
      <c r="P159" s="16"/>
      <c r="Q159" s="12"/>
      <c r="R159" s="15"/>
      <c r="S159" s="16" t="str">
        <f aca="false">IF(B159="","",IF(M159="Desestimada","Cerrado - desestimada",IF(AND(M159="Aplicada",OR(P159="Pagada",P159="Incluida en expensas")),"Cerrado - multa cobrada",IF(M159="Aplicada","Multa aplicada - impaga",IF(L159&lt;&gt;"","Descargo respondido - a resolver",IF(J159="Sí","Esperando respuesta descargo","Pendiente enviar descargo"))))))</f>
        <v/>
      </c>
      <c r="T159" s="18" t="str">
        <f aca="true">IF(B159="","",TODAY()-B159)</f>
        <v/>
      </c>
    </row>
    <row r="160" customFormat="false" ht="15" hidden="false" customHeight="false" outlineLevel="0" collapsed="false">
      <c r="A160" s="11" t="str">
        <f aca="false">IF(B160="","",ROW()-3)</f>
        <v/>
      </c>
      <c r="B160" s="12"/>
      <c r="C160" s="13"/>
      <c r="D160" s="14"/>
      <c r="E160" s="11"/>
      <c r="F160" s="15"/>
      <c r="G160" s="14"/>
      <c r="H160" s="15"/>
      <c r="I160" s="15"/>
      <c r="J160" s="16"/>
      <c r="K160" s="12"/>
      <c r="L160" s="12"/>
      <c r="M160" s="16"/>
      <c r="N160" s="12"/>
      <c r="O160" s="17"/>
      <c r="P160" s="16"/>
      <c r="Q160" s="12"/>
      <c r="R160" s="15"/>
      <c r="S160" s="16" t="str">
        <f aca="false">IF(B160="","",IF(M160="Desestimada","Cerrado - desestimada",IF(AND(M160="Aplicada",OR(P160="Pagada",P160="Incluida en expensas")),"Cerrado - multa cobrada",IF(M160="Aplicada","Multa aplicada - impaga",IF(L160&lt;&gt;"","Descargo respondido - a resolver",IF(J160="Sí","Esperando respuesta descargo","Pendiente enviar descargo"))))))</f>
        <v/>
      </c>
      <c r="T160" s="18" t="str">
        <f aca="true">IF(B160="","",TODAY()-B160)</f>
        <v/>
      </c>
    </row>
    <row r="161" customFormat="false" ht="15" hidden="false" customHeight="false" outlineLevel="0" collapsed="false">
      <c r="A161" s="11" t="str">
        <f aca="false">IF(B161="","",ROW()-3)</f>
        <v/>
      </c>
      <c r="B161" s="12"/>
      <c r="C161" s="13"/>
      <c r="D161" s="14"/>
      <c r="E161" s="11"/>
      <c r="F161" s="15"/>
      <c r="G161" s="14"/>
      <c r="H161" s="15"/>
      <c r="I161" s="15"/>
      <c r="J161" s="16"/>
      <c r="K161" s="12"/>
      <c r="L161" s="12"/>
      <c r="M161" s="16"/>
      <c r="N161" s="12"/>
      <c r="O161" s="17"/>
      <c r="P161" s="16"/>
      <c r="Q161" s="12"/>
      <c r="R161" s="15"/>
      <c r="S161" s="16" t="str">
        <f aca="false">IF(B161="","",IF(M161="Desestimada","Cerrado - desestimada",IF(AND(M161="Aplicada",OR(P161="Pagada",P161="Incluida en expensas")),"Cerrado - multa cobrada",IF(M161="Aplicada","Multa aplicada - impaga",IF(L161&lt;&gt;"","Descargo respondido - a resolver",IF(J161="Sí","Esperando respuesta descargo","Pendiente enviar descargo"))))))</f>
        <v/>
      </c>
      <c r="T161" s="18" t="str">
        <f aca="true">IF(B161="","",TODAY()-B161)</f>
        <v/>
      </c>
    </row>
    <row r="162" customFormat="false" ht="15" hidden="false" customHeight="false" outlineLevel="0" collapsed="false">
      <c r="A162" s="11" t="str">
        <f aca="false">IF(B162="","",ROW()-3)</f>
        <v/>
      </c>
      <c r="B162" s="12"/>
      <c r="C162" s="13"/>
      <c r="D162" s="14"/>
      <c r="E162" s="11"/>
      <c r="F162" s="15"/>
      <c r="G162" s="14"/>
      <c r="H162" s="15"/>
      <c r="I162" s="15"/>
      <c r="J162" s="16"/>
      <c r="K162" s="12"/>
      <c r="L162" s="12"/>
      <c r="M162" s="16"/>
      <c r="N162" s="12"/>
      <c r="O162" s="17"/>
      <c r="P162" s="16"/>
      <c r="Q162" s="12"/>
      <c r="R162" s="15"/>
      <c r="S162" s="16" t="str">
        <f aca="false">IF(B162="","",IF(M162="Desestimada","Cerrado - desestimada",IF(AND(M162="Aplicada",OR(P162="Pagada",P162="Incluida en expensas")),"Cerrado - multa cobrada",IF(M162="Aplicada","Multa aplicada - impaga",IF(L162&lt;&gt;"","Descargo respondido - a resolver",IF(J162="Sí","Esperando respuesta descargo","Pendiente enviar descargo"))))))</f>
        <v/>
      </c>
      <c r="T162" s="18" t="str">
        <f aca="true">IF(B162="","",TODAY()-B162)</f>
        <v/>
      </c>
    </row>
    <row r="163" customFormat="false" ht="15" hidden="false" customHeight="false" outlineLevel="0" collapsed="false">
      <c r="A163" s="11" t="str">
        <f aca="false">IF(B163="","",ROW()-3)</f>
        <v/>
      </c>
      <c r="B163" s="12"/>
      <c r="C163" s="13"/>
      <c r="D163" s="14"/>
      <c r="E163" s="11"/>
      <c r="F163" s="15"/>
      <c r="G163" s="14"/>
      <c r="H163" s="15"/>
      <c r="I163" s="15"/>
      <c r="J163" s="16"/>
      <c r="K163" s="12"/>
      <c r="L163" s="12"/>
      <c r="M163" s="16"/>
      <c r="N163" s="12"/>
      <c r="O163" s="17"/>
      <c r="P163" s="16"/>
      <c r="Q163" s="12"/>
      <c r="R163" s="15"/>
      <c r="S163" s="16" t="str">
        <f aca="false">IF(B163="","",IF(M163="Desestimada","Cerrado - desestimada",IF(AND(M163="Aplicada",OR(P163="Pagada",P163="Incluida en expensas")),"Cerrado - multa cobrada",IF(M163="Aplicada","Multa aplicada - impaga",IF(L163&lt;&gt;"","Descargo respondido - a resolver",IF(J163="Sí","Esperando respuesta descargo","Pendiente enviar descargo"))))))</f>
        <v/>
      </c>
      <c r="T163" s="18" t="str">
        <f aca="true">IF(B163="","",TODAY()-B163)</f>
        <v/>
      </c>
    </row>
    <row r="164" customFormat="false" ht="15" hidden="false" customHeight="false" outlineLevel="0" collapsed="false">
      <c r="A164" s="11" t="str">
        <f aca="false">IF(B164="","",ROW()-3)</f>
        <v/>
      </c>
      <c r="B164" s="12"/>
      <c r="C164" s="13"/>
      <c r="D164" s="14"/>
      <c r="E164" s="11"/>
      <c r="F164" s="15"/>
      <c r="G164" s="14"/>
      <c r="H164" s="15"/>
      <c r="I164" s="15"/>
      <c r="J164" s="16"/>
      <c r="K164" s="12"/>
      <c r="L164" s="12"/>
      <c r="M164" s="16"/>
      <c r="N164" s="12"/>
      <c r="O164" s="17"/>
      <c r="P164" s="16"/>
      <c r="Q164" s="12"/>
      <c r="R164" s="15"/>
      <c r="S164" s="16" t="str">
        <f aca="false">IF(B164="","",IF(M164="Desestimada","Cerrado - desestimada",IF(AND(M164="Aplicada",OR(P164="Pagada",P164="Incluida en expensas")),"Cerrado - multa cobrada",IF(M164="Aplicada","Multa aplicada - impaga",IF(L164&lt;&gt;"","Descargo respondido - a resolver",IF(J164="Sí","Esperando respuesta descargo","Pendiente enviar descargo"))))))</f>
        <v/>
      </c>
      <c r="T164" s="18" t="str">
        <f aca="true">IF(B164="","",TODAY()-B164)</f>
        <v/>
      </c>
    </row>
    <row r="165" customFormat="false" ht="15" hidden="false" customHeight="false" outlineLevel="0" collapsed="false">
      <c r="A165" s="11" t="str">
        <f aca="false">IF(B165="","",ROW()-3)</f>
        <v/>
      </c>
      <c r="B165" s="12"/>
      <c r="C165" s="13"/>
      <c r="D165" s="14"/>
      <c r="E165" s="11"/>
      <c r="F165" s="15"/>
      <c r="G165" s="14"/>
      <c r="H165" s="15"/>
      <c r="I165" s="15"/>
      <c r="J165" s="16"/>
      <c r="K165" s="12"/>
      <c r="L165" s="12"/>
      <c r="M165" s="16"/>
      <c r="N165" s="12"/>
      <c r="O165" s="17"/>
      <c r="P165" s="16"/>
      <c r="Q165" s="12"/>
      <c r="R165" s="15"/>
      <c r="S165" s="16" t="str">
        <f aca="false">IF(B165="","",IF(M165="Desestimada","Cerrado - desestimada",IF(AND(M165="Aplicada",OR(P165="Pagada",P165="Incluida en expensas")),"Cerrado - multa cobrada",IF(M165="Aplicada","Multa aplicada - impaga",IF(L165&lt;&gt;"","Descargo respondido - a resolver",IF(J165="Sí","Esperando respuesta descargo","Pendiente enviar descargo"))))))</f>
        <v/>
      </c>
      <c r="T165" s="18" t="str">
        <f aca="true">IF(B165="","",TODAY()-B165)</f>
        <v/>
      </c>
    </row>
    <row r="166" customFormat="false" ht="15" hidden="false" customHeight="false" outlineLevel="0" collapsed="false">
      <c r="A166" s="11" t="str">
        <f aca="false">IF(B166="","",ROW()-3)</f>
        <v/>
      </c>
      <c r="B166" s="12"/>
      <c r="C166" s="13"/>
      <c r="D166" s="14"/>
      <c r="E166" s="11"/>
      <c r="F166" s="15"/>
      <c r="G166" s="14"/>
      <c r="H166" s="15"/>
      <c r="I166" s="15"/>
      <c r="J166" s="16"/>
      <c r="K166" s="12"/>
      <c r="L166" s="12"/>
      <c r="M166" s="16"/>
      <c r="N166" s="12"/>
      <c r="O166" s="17"/>
      <c r="P166" s="16"/>
      <c r="Q166" s="12"/>
      <c r="R166" s="15"/>
      <c r="S166" s="16" t="str">
        <f aca="false">IF(B166="","",IF(M166="Desestimada","Cerrado - desestimada",IF(AND(M166="Aplicada",OR(P166="Pagada",P166="Incluida en expensas")),"Cerrado - multa cobrada",IF(M166="Aplicada","Multa aplicada - impaga",IF(L166&lt;&gt;"","Descargo respondido - a resolver",IF(J166="Sí","Esperando respuesta descargo","Pendiente enviar descargo"))))))</f>
        <v/>
      </c>
      <c r="T166" s="18" t="str">
        <f aca="true">IF(B166="","",TODAY()-B166)</f>
        <v/>
      </c>
    </row>
    <row r="167" customFormat="false" ht="15" hidden="false" customHeight="false" outlineLevel="0" collapsed="false">
      <c r="A167" s="11" t="str">
        <f aca="false">IF(B167="","",ROW()-3)</f>
        <v/>
      </c>
      <c r="B167" s="12"/>
      <c r="C167" s="13"/>
      <c r="D167" s="14"/>
      <c r="E167" s="11"/>
      <c r="F167" s="15"/>
      <c r="G167" s="14"/>
      <c r="H167" s="15"/>
      <c r="I167" s="15"/>
      <c r="J167" s="16"/>
      <c r="K167" s="12"/>
      <c r="L167" s="12"/>
      <c r="M167" s="16"/>
      <c r="N167" s="12"/>
      <c r="O167" s="17"/>
      <c r="P167" s="16"/>
      <c r="Q167" s="12"/>
      <c r="R167" s="15"/>
      <c r="S167" s="16" t="str">
        <f aca="false">IF(B167="","",IF(M167="Desestimada","Cerrado - desestimada",IF(AND(M167="Aplicada",OR(P167="Pagada",P167="Incluida en expensas")),"Cerrado - multa cobrada",IF(M167="Aplicada","Multa aplicada - impaga",IF(L167&lt;&gt;"","Descargo respondido - a resolver",IF(J167="Sí","Esperando respuesta descargo","Pendiente enviar descargo"))))))</f>
        <v/>
      </c>
      <c r="T167" s="18" t="str">
        <f aca="true">IF(B167="","",TODAY()-B167)</f>
        <v/>
      </c>
    </row>
    <row r="168" customFormat="false" ht="15" hidden="false" customHeight="false" outlineLevel="0" collapsed="false">
      <c r="A168" s="11" t="str">
        <f aca="false">IF(B168="","",ROW()-3)</f>
        <v/>
      </c>
      <c r="B168" s="12"/>
      <c r="C168" s="13"/>
      <c r="D168" s="14"/>
      <c r="E168" s="11"/>
      <c r="F168" s="15"/>
      <c r="G168" s="14"/>
      <c r="H168" s="15"/>
      <c r="I168" s="15"/>
      <c r="J168" s="16"/>
      <c r="K168" s="12"/>
      <c r="L168" s="12"/>
      <c r="M168" s="16"/>
      <c r="N168" s="12"/>
      <c r="O168" s="17"/>
      <c r="P168" s="16"/>
      <c r="Q168" s="12"/>
      <c r="R168" s="15"/>
      <c r="S168" s="16" t="str">
        <f aca="false">IF(B168="","",IF(M168="Desestimada","Cerrado - desestimada",IF(AND(M168="Aplicada",OR(P168="Pagada",P168="Incluida en expensas")),"Cerrado - multa cobrada",IF(M168="Aplicada","Multa aplicada - impaga",IF(L168&lt;&gt;"","Descargo respondido - a resolver",IF(J168="Sí","Esperando respuesta descargo","Pendiente enviar descargo"))))))</f>
        <v/>
      </c>
      <c r="T168" s="18" t="str">
        <f aca="true">IF(B168="","",TODAY()-B168)</f>
        <v/>
      </c>
    </row>
    <row r="169" customFormat="false" ht="15" hidden="false" customHeight="false" outlineLevel="0" collapsed="false">
      <c r="A169" s="11" t="str">
        <f aca="false">IF(B169="","",ROW()-3)</f>
        <v/>
      </c>
      <c r="B169" s="12"/>
      <c r="C169" s="13"/>
      <c r="D169" s="14"/>
      <c r="E169" s="11"/>
      <c r="F169" s="15"/>
      <c r="G169" s="14"/>
      <c r="H169" s="15"/>
      <c r="I169" s="15"/>
      <c r="J169" s="16"/>
      <c r="K169" s="12"/>
      <c r="L169" s="12"/>
      <c r="M169" s="16"/>
      <c r="N169" s="12"/>
      <c r="O169" s="17"/>
      <c r="P169" s="16"/>
      <c r="Q169" s="12"/>
      <c r="R169" s="15"/>
      <c r="S169" s="16" t="str">
        <f aca="false">IF(B169="","",IF(M169="Desestimada","Cerrado - desestimada",IF(AND(M169="Aplicada",OR(P169="Pagada",P169="Incluida en expensas")),"Cerrado - multa cobrada",IF(M169="Aplicada","Multa aplicada - impaga",IF(L169&lt;&gt;"","Descargo respondido - a resolver",IF(J169="Sí","Esperando respuesta descargo","Pendiente enviar descargo"))))))</f>
        <v/>
      </c>
      <c r="T169" s="18" t="str">
        <f aca="true">IF(B169="","",TODAY()-B169)</f>
        <v/>
      </c>
    </row>
    <row r="170" customFormat="false" ht="15" hidden="false" customHeight="false" outlineLevel="0" collapsed="false">
      <c r="A170" s="11" t="str">
        <f aca="false">IF(B170="","",ROW()-3)</f>
        <v/>
      </c>
      <c r="B170" s="12"/>
      <c r="C170" s="13"/>
      <c r="D170" s="14"/>
      <c r="E170" s="11"/>
      <c r="F170" s="15"/>
      <c r="G170" s="14"/>
      <c r="H170" s="15"/>
      <c r="I170" s="15"/>
      <c r="J170" s="16"/>
      <c r="K170" s="12"/>
      <c r="L170" s="12"/>
      <c r="M170" s="16"/>
      <c r="N170" s="12"/>
      <c r="O170" s="17"/>
      <c r="P170" s="16"/>
      <c r="Q170" s="12"/>
      <c r="R170" s="15"/>
      <c r="S170" s="16" t="str">
        <f aca="false">IF(B170="","",IF(M170="Desestimada","Cerrado - desestimada",IF(AND(M170="Aplicada",OR(P170="Pagada",P170="Incluida en expensas")),"Cerrado - multa cobrada",IF(M170="Aplicada","Multa aplicada - impaga",IF(L170&lt;&gt;"","Descargo respondido - a resolver",IF(J170="Sí","Esperando respuesta descargo","Pendiente enviar descargo"))))))</f>
        <v/>
      </c>
      <c r="T170" s="18" t="str">
        <f aca="true">IF(B170="","",TODAY()-B170)</f>
        <v/>
      </c>
    </row>
    <row r="171" customFormat="false" ht="15" hidden="false" customHeight="false" outlineLevel="0" collapsed="false">
      <c r="A171" s="11" t="str">
        <f aca="false">IF(B171="","",ROW()-3)</f>
        <v/>
      </c>
      <c r="B171" s="12"/>
      <c r="C171" s="13"/>
      <c r="D171" s="14"/>
      <c r="E171" s="11"/>
      <c r="F171" s="15"/>
      <c r="G171" s="14"/>
      <c r="H171" s="15"/>
      <c r="I171" s="15"/>
      <c r="J171" s="16"/>
      <c r="K171" s="12"/>
      <c r="L171" s="12"/>
      <c r="M171" s="16"/>
      <c r="N171" s="12"/>
      <c r="O171" s="17"/>
      <c r="P171" s="16"/>
      <c r="Q171" s="12"/>
      <c r="R171" s="15"/>
      <c r="S171" s="16" t="str">
        <f aca="false">IF(B171="","",IF(M171="Desestimada","Cerrado - desestimada",IF(AND(M171="Aplicada",OR(P171="Pagada",P171="Incluida en expensas")),"Cerrado - multa cobrada",IF(M171="Aplicada","Multa aplicada - impaga",IF(L171&lt;&gt;"","Descargo respondido - a resolver",IF(J171="Sí","Esperando respuesta descargo","Pendiente enviar descargo"))))))</f>
        <v/>
      </c>
      <c r="T171" s="18" t="str">
        <f aca="true">IF(B171="","",TODAY()-B171)</f>
        <v/>
      </c>
    </row>
    <row r="172" customFormat="false" ht="15" hidden="false" customHeight="false" outlineLevel="0" collapsed="false">
      <c r="A172" s="11" t="str">
        <f aca="false">IF(B172="","",ROW()-3)</f>
        <v/>
      </c>
      <c r="B172" s="12"/>
      <c r="C172" s="13"/>
      <c r="D172" s="14"/>
      <c r="E172" s="11"/>
      <c r="F172" s="15"/>
      <c r="G172" s="14"/>
      <c r="H172" s="15"/>
      <c r="I172" s="15"/>
      <c r="J172" s="16"/>
      <c r="K172" s="12"/>
      <c r="L172" s="12"/>
      <c r="M172" s="16"/>
      <c r="N172" s="12"/>
      <c r="O172" s="17"/>
      <c r="P172" s="16"/>
      <c r="Q172" s="12"/>
      <c r="R172" s="15"/>
      <c r="S172" s="16" t="str">
        <f aca="false">IF(B172="","",IF(M172="Desestimada","Cerrado - desestimada",IF(AND(M172="Aplicada",OR(P172="Pagada",P172="Incluida en expensas")),"Cerrado - multa cobrada",IF(M172="Aplicada","Multa aplicada - impaga",IF(L172&lt;&gt;"","Descargo respondido - a resolver",IF(J172="Sí","Esperando respuesta descargo","Pendiente enviar descargo"))))))</f>
        <v/>
      </c>
      <c r="T172" s="18" t="str">
        <f aca="true">IF(B172="","",TODAY()-B172)</f>
        <v/>
      </c>
    </row>
    <row r="173" customFormat="false" ht="15" hidden="false" customHeight="false" outlineLevel="0" collapsed="false">
      <c r="A173" s="11" t="str">
        <f aca="false">IF(B173="","",ROW()-3)</f>
        <v/>
      </c>
      <c r="B173" s="12"/>
      <c r="C173" s="13"/>
      <c r="D173" s="14"/>
      <c r="E173" s="11"/>
      <c r="F173" s="15"/>
      <c r="G173" s="14"/>
      <c r="H173" s="15"/>
      <c r="I173" s="15"/>
      <c r="J173" s="16"/>
      <c r="K173" s="12"/>
      <c r="L173" s="12"/>
      <c r="M173" s="16"/>
      <c r="N173" s="12"/>
      <c r="O173" s="17"/>
      <c r="P173" s="16"/>
      <c r="Q173" s="12"/>
      <c r="R173" s="15"/>
      <c r="S173" s="16" t="str">
        <f aca="false">IF(B173="","",IF(M173="Desestimada","Cerrado - desestimada",IF(AND(M173="Aplicada",OR(P173="Pagada",P173="Incluida en expensas")),"Cerrado - multa cobrada",IF(M173="Aplicada","Multa aplicada - impaga",IF(L173&lt;&gt;"","Descargo respondido - a resolver",IF(J173="Sí","Esperando respuesta descargo","Pendiente enviar descargo"))))))</f>
        <v/>
      </c>
      <c r="T173" s="18" t="str">
        <f aca="true">IF(B173="","",TODAY()-B173)</f>
        <v/>
      </c>
    </row>
    <row r="174" customFormat="false" ht="15" hidden="false" customHeight="false" outlineLevel="0" collapsed="false">
      <c r="A174" s="11" t="str">
        <f aca="false">IF(B174="","",ROW()-3)</f>
        <v/>
      </c>
      <c r="B174" s="12"/>
      <c r="C174" s="13"/>
      <c r="D174" s="14"/>
      <c r="E174" s="11"/>
      <c r="F174" s="15"/>
      <c r="G174" s="14"/>
      <c r="H174" s="15"/>
      <c r="I174" s="15"/>
      <c r="J174" s="16"/>
      <c r="K174" s="12"/>
      <c r="L174" s="12"/>
      <c r="M174" s="16"/>
      <c r="N174" s="12"/>
      <c r="O174" s="17"/>
      <c r="P174" s="16"/>
      <c r="Q174" s="12"/>
      <c r="R174" s="15"/>
      <c r="S174" s="16" t="str">
        <f aca="false">IF(B174="","",IF(M174="Desestimada","Cerrado - desestimada",IF(AND(M174="Aplicada",OR(P174="Pagada",P174="Incluida en expensas")),"Cerrado - multa cobrada",IF(M174="Aplicada","Multa aplicada - impaga",IF(L174&lt;&gt;"","Descargo respondido - a resolver",IF(J174="Sí","Esperando respuesta descargo","Pendiente enviar descargo"))))))</f>
        <v/>
      </c>
      <c r="T174" s="18" t="str">
        <f aca="true">IF(B174="","",TODAY()-B174)</f>
        <v/>
      </c>
    </row>
    <row r="175" customFormat="false" ht="15" hidden="false" customHeight="false" outlineLevel="0" collapsed="false">
      <c r="A175" s="11" t="str">
        <f aca="false">IF(B175="","",ROW()-3)</f>
        <v/>
      </c>
      <c r="B175" s="12"/>
      <c r="C175" s="13"/>
      <c r="D175" s="14"/>
      <c r="E175" s="11"/>
      <c r="F175" s="15"/>
      <c r="G175" s="14"/>
      <c r="H175" s="15"/>
      <c r="I175" s="15"/>
      <c r="J175" s="16"/>
      <c r="K175" s="12"/>
      <c r="L175" s="12"/>
      <c r="M175" s="16"/>
      <c r="N175" s="12"/>
      <c r="O175" s="17"/>
      <c r="P175" s="16"/>
      <c r="Q175" s="12"/>
      <c r="R175" s="15"/>
      <c r="S175" s="16" t="str">
        <f aca="false">IF(B175="","",IF(M175="Desestimada","Cerrado - desestimada",IF(AND(M175="Aplicada",OR(P175="Pagada",P175="Incluida en expensas")),"Cerrado - multa cobrada",IF(M175="Aplicada","Multa aplicada - impaga",IF(L175&lt;&gt;"","Descargo respondido - a resolver",IF(J175="Sí","Esperando respuesta descargo","Pendiente enviar descargo"))))))</f>
        <v/>
      </c>
      <c r="T175" s="18" t="str">
        <f aca="true">IF(B175="","",TODAY()-B175)</f>
        <v/>
      </c>
    </row>
    <row r="176" customFormat="false" ht="15" hidden="false" customHeight="false" outlineLevel="0" collapsed="false">
      <c r="A176" s="11" t="str">
        <f aca="false">IF(B176="","",ROW()-3)</f>
        <v/>
      </c>
      <c r="B176" s="12"/>
      <c r="C176" s="13"/>
      <c r="D176" s="14"/>
      <c r="E176" s="11"/>
      <c r="F176" s="15"/>
      <c r="G176" s="14"/>
      <c r="H176" s="15"/>
      <c r="I176" s="15"/>
      <c r="J176" s="16"/>
      <c r="K176" s="12"/>
      <c r="L176" s="12"/>
      <c r="M176" s="16"/>
      <c r="N176" s="12"/>
      <c r="O176" s="17"/>
      <c r="P176" s="16"/>
      <c r="Q176" s="12"/>
      <c r="R176" s="15"/>
      <c r="S176" s="16" t="str">
        <f aca="false">IF(B176="","",IF(M176="Desestimada","Cerrado - desestimada",IF(AND(M176="Aplicada",OR(P176="Pagada",P176="Incluida en expensas")),"Cerrado - multa cobrada",IF(M176="Aplicada","Multa aplicada - impaga",IF(L176&lt;&gt;"","Descargo respondido - a resolver",IF(J176="Sí","Esperando respuesta descargo","Pendiente enviar descargo"))))))</f>
        <v/>
      </c>
      <c r="T176" s="18" t="str">
        <f aca="true">IF(B176="","",TODAY()-B176)</f>
        <v/>
      </c>
    </row>
    <row r="177" customFormat="false" ht="15" hidden="false" customHeight="false" outlineLevel="0" collapsed="false">
      <c r="A177" s="11" t="str">
        <f aca="false">IF(B177="","",ROW()-3)</f>
        <v/>
      </c>
      <c r="B177" s="12"/>
      <c r="C177" s="13"/>
      <c r="D177" s="14"/>
      <c r="E177" s="11"/>
      <c r="F177" s="15"/>
      <c r="G177" s="14"/>
      <c r="H177" s="15"/>
      <c r="I177" s="15"/>
      <c r="J177" s="16"/>
      <c r="K177" s="12"/>
      <c r="L177" s="12"/>
      <c r="M177" s="16"/>
      <c r="N177" s="12"/>
      <c r="O177" s="17"/>
      <c r="P177" s="16"/>
      <c r="Q177" s="12"/>
      <c r="R177" s="15"/>
      <c r="S177" s="16" t="str">
        <f aca="false">IF(B177="","",IF(M177="Desestimada","Cerrado - desestimada",IF(AND(M177="Aplicada",OR(P177="Pagada",P177="Incluida en expensas")),"Cerrado - multa cobrada",IF(M177="Aplicada","Multa aplicada - impaga",IF(L177&lt;&gt;"","Descargo respondido - a resolver",IF(J177="Sí","Esperando respuesta descargo","Pendiente enviar descargo"))))))</f>
        <v/>
      </c>
      <c r="T177" s="18" t="str">
        <f aca="true">IF(B177="","",TODAY()-B177)</f>
        <v/>
      </c>
    </row>
    <row r="178" customFormat="false" ht="15" hidden="false" customHeight="false" outlineLevel="0" collapsed="false">
      <c r="A178" s="11" t="str">
        <f aca="false">IF(B178="","",ROW()-3)</f>
        <v/>
      </c>
      <c r="B178" s="12"/>
      <c r="C178" s="13"/>
      <c r="D178" s="14"/>
      <c r="E178" s="11"/>
      <c r="F178" s="15"/>
      <c r="G178" s="14"/>
      <c r="H178" s="15"/>
      <c r="I178" s="15"/>
      <c r="J178" s="16"/>
      <c r="K178" s="12"/>
      <c r="L178" s="12"/>
      <c r="M178" s="16"/>
      <c r="N178" s="12"/>
      <c r="O178" s="17"/>
      <c r="P178" s="16"/>
      <c r="Q178" s="12"/>
      <c r="R178" s="15"/>
      <c r="S178" s="16" t="str">
        <f aca="false">IF(B178="","",IF(M178="Desestimada","Cerrado - desestimada",IF(AND(M178="Aplicada",OR(P178="Pagada",P178="Incluida en expensas")),"Cerrado - multa cobrada",IF(M178="Aplicada","Multa aplicada - impaga",IF(L178&lt;&gt;"","Descargo respondido - a resolver",IF(J178="Sí","Esperando respuesta descargo","Pendiente enviar descargo"))))))</f>
        <v/>
      </c>
      <c r="T178" s="18" t="str">
        <f aca="true">IF(B178="","",TODAY()-B178)</f>
        <v/>
      </c>
    </row>
    <row r="179" customFormat="false" ht="15" hidden="false" customHeight="false" outlineLevel="0" collapsed="false">
      <c r="A179" s="11" t="str">
        <f aca="false">IF(B179="","",ROW()-3)</f>
        <v/>
      </c>
      <c r="B179" s="12"/>
      <c r="C179" s="13"/>
      <c r="D179" s="14"/>
      <c r="E179" s="11"/>
      <c r="F179" s="15"/>
      <c r="G179" s="14"/>
      <c r="H179" s="15"/>
      <c r="I179" s="15"/>
      <c r="J179" s="16"/>
      <c r="K179" s="12"/>
      <c r="L179" s="12"/>
      <c r="M179" s="16"/>
      <c r="N179" s="12"/>
      <c r="O179" s="17"/>
      <c r="P179" s="16"/>
      <c r="Q179" s="12"/>
      <c r="R179" s="15"/>
      <c r="S179" s="16" t="str">
        <f aca="false">IF(B179="","",IF(M179="Desestimada","Cerrado - desestimada",IF(AND(M179="Aplicada",OR(P179="Pagada",P179="Incluida en expensas")),"Cerrado - multa cobrada",IF(M179="Aplicada","Multa aplicada - impaga",IF(L179&lt;&gt;"","Descargo respondido - a resolver",IF(J179="Sí","Esperando respuesta descargo","Pendiente enviar descargo"))))))</f>
        <v/>
      </c>
      <c r="T179" s="18" t="str">
        <f aca="true">IF(B179="","",TODAY()-B179)</f>
        <v/>
      </c>
    </row>
    <row r="180" customFormat="false" ht="15" hidden="false" customHeight="false" outlineLevel="0" collapsed="false">
      <c r="A180" s="11" t="str">
        <f aca="false">IF(B180="","",ROW()-3)</f>
        <v/>
      </c>
      <c r="B180" s="12"/>
      <c r="C180" s="13"/>
      <c r="D180" s="14"/>
      <c r="E180" s="11"/>
      <c r="F180" s="15"/>
      <c r="G180" s="14"/>
      <c r="H180" s="15"/>
      <c r="I180" s="15"/>
      <c r="J180" s="16"/>
      <c r="K180" s="12"/>
      <c r="L180" s="12"/>
      <c r="M180" s="16"/>
      <c r="N180" s="12"/>
      <c r="O180" s="17"/>
      <c r="P180" s="16"/>
      <c r="Q180" s="12"/>
      <c r="R180" s="15"/>
      <c r="S180" s="16" t="str">
        <f aca="false">IF(B180="","",IF(M180="Desestimada","Cerrado - desestimada",IF(AND(M180="Aplicada",OR(P180="Pagada",P180="Incluida en expensas")),"Cerrado - multa cobrada",IF(M180="Aplicada","Multa aplicada - impaga",IF(L180&lt;&gt;"","Descargo respondido - a resolver",IF(J180="Sí","Esperando respuesta descargo","Pendiente enviar descargo"))))))</f>
        <v/>
      </c>
      <c r="T180" s="18" t="str">
        <f aca="true">IF(B180="","",TODAY()-B180)</f>
        <v/>
      </c>
    </row>
    <row r="181" customFormat="false" ht="15" hidden="false" customHeight="false" outlineLevel="0" collapsed="false">
      <c r="A181" s="11" t="str">
        <f aca="false">IF(B181="","",ROW()-3)</f>
        <v/>
      </c>
      <c r="B181" s="12"/>
      <c r="C181" s="13"/>
      <c r="D181" s="14"/>
      <c r="E181" s="11"/>
      <c r="F181" s="15"/>
      <c r="G181" s="14"/>
      <c r="H181" s="15"/>
      <c r="I181" s="15"/>
      <c r="J181" s="16"/>
      <c r="K181" s="12"/>
      <c r="L181" s="12"/>
      <c r="M181" s="16"/>
      <c r="N181" s="12"/>
      <c r="O181" s="17"/>
      <c r="P181" s="16"/>
      <c r="Q181" s="12"/>
      <c r="R181" s="15"/>
      <c r="S181" s="16" t="str">
        <f aca="false">IF(B181="","",IF(M181="Desestimada","Cerrado - desestimada",IF(AND(M181="Aplicada",OR(P181="Pagada",P181="Incluida en expensas")),"Cerrado - multa cobrada",IF(M181="Aplicada","Multa aplicada - impaga",IF(L181&lt;&gt;"","Descargo respondido - a resolver",IF(J181="Sí","Esperando respuesta descargo","Pendiente enviar descargo"))))))</f>
        <v/>
      </c>
      <c r="T181" s="18" t="str">
        <f aca="true">IF(B181="","",TODAY()-B181)</f>
        <v/>
      </c>
    </row>
    <row r="182" customFormat="false" ht="15" hidden="false" customHeight="false" outlineLevel="0" collapsed="false">
      <c r="A182" s="11" t="str">
        <f aca="false">IF(B182="","",ROW()-3)</f>
        <v/>
      </c>
      <c r="B182" s="12"/>
      <c r="C182" s="13"/>
      <c r="D182" s="14"/>
      <c r="E182" s="11"/>
      <c r="F182" s="15"/>
      <c r="G182" s="14"/>
      <c r="H182" s="15"/>
      <c r="I182" s="15"/>
      <c r="J182" s="16"/>
      <c r="K182" s="12"/>
      <c r="L182" s="12"/>
      <c r="M182" s="16"/>
      <c r="N182" s="12"/>
      <c r="O182" s="17"/>
      <c r="P182" s="16"/>
      <c r="Q182" s="12"/>
      <c r="R182" s="15"/>
      <c r="S182" s="16" t="str">
        <f aca="false">IF(B182="","",IF(M182="Desestimada","Cerrado - desestimada",IF(AND(M182="Aplicada",OR(P182="Pagada",P182="Incluida en expensas")),"Cerrado - multa cobrada",IF(M182="Aplicada","Multa aplicada - impaga",IF(L182&lt;&gt;"","Descargo respondido - a resolver",IF(J182="Sí","Esperando respuesta descargo","Pendiente enviar descargo"))))))</f>
        <v/>
      </c>
      <c r="T182" s="18" t="str">
        <f aca="true">IF(B182="","",TODAY()-B182)</f>
        <v/>
      </c>
    </row>
    <row r="183" customFormat="false" ht="15" hidden="false" customHeight="false" outlineLevel="0" collapsed="false">
      <c r="A183" s="11" t="str">
        <f aca="false">IF(B183="","",ROW()-3)</f>
        <v/>
      </c>
      <c r="B183" s="12"/>
      <c r="C183" s="13"/>
      <c r="D183" s="14"/>
      <c r="E183" s="11"/>
      <c r="F183" s="15"/>
      <c r="G183" s="14"/>
      <c r="H183" s="15"/>
      <c r="I183" s="15"/>
      <c r="J183" s="16"/>
      <c r="K183" s="12"/>
      <c r="L183" s="12"/>
      <c r="M183" s="16"/>
      <c r="N183" s="12"/>
      <c r="O183" s="17"/>
      <c r="P183" s="16"/>
      <c r="Q183" s="12"/>
      <c r="R183" s="15"/>
      <c r="S183" s="16" t="str">
        <f aca="false">IF(B183="","",IF(M183="Desestimada","Cerrado - desestimada",IF(AND(M183="Aplicada",OR(P183="Pagada",P183="Incluida en expensas")),"Cerrado - multa cobrada",IF(M183="Aplicada","Multa aplicada - impaga",IF(L183&lt;&gt;"","Descargo respondido - a resolver",IF(J183="Sí","Esperando respuesta descargo","Pendiente enviar descargo"))))))</f>
        <v/>
      </c>
      <c r="T183" s="18" t="str">
        <f aca="true">IF(B183="","",TODAY()-B183)</f>
        <v/>
      </c>
    </row>
    <row r="184" customFormat="false" ht="15" hidden="false" customHeight="false" outlineLevel="0" collapsed="false">
      <c r="A184" s="11" t="str">
        <f aca="false">IF(B184="","",ROW()-3)</f>
        <v/>
      </c>
      <c r="B184" s="12"/>
      <c r="C184" s="13"/>
      <c r="D184" s="14"/>
      <c r="E184" s="11"/>
      <c r="F184" s="15"/>
      <c r="G184" s="14"/>
      <c r="H184" s="15"/>
      <c r="I184" s="15"/>
      <c r="J184" s="16"/>
      <c r="K184" s="12"/>
      <c r="L184" s="12"/>
      <c r="M184" s="16"/>
      <c r="N184" s="12"/>
      <c r="O184" s="17"/>
      <c r="P184" s="16"/>
      <c r="Q184" s="12"/>
      <c r="R184" s="15"/>
      <c r="S184" s="16" t="str">
        <f aca="false">IF(B184="","",IF(M184="Desestimada","Cerrado - desestimada",IF(AND(M184="Aplicada",OR(P184="Pagada",P184="Incluida en expensas")),"Cerrado - multa cobrada",IF(M184="Aplicada","Multa aplicada - impaga",IF(L184&lt;&gt;"","Descargo respondido - a resolver",IF(J184="Sí","Esperando respuesta descargo","Pendiente enviar descargo"))))))</f>
        <v/>
      </c>
      <c r="T184" s="18" t="str">
        <f aca="true">IF(B184="","",TODAY()-B184)</f>
        <v/>
      </c>
    </row>
    <row r="185" customFormat="false" ht="15" hidden="false" customHeight="false" outlineLevel="0" collapsed="false">
      <c r="A185" s="11" t="str">
        <f aca="false">IF(B185="","",ROW()-3)</f>
        <v/>
      </c>
      <c r="B185" s="12"/>
      <c r="C185" s="13"/>
      <c r="D185" s="14"/>
      <c r="E185" s="11"/>
      <c r="F185" s="15"/>
      <c r="G185" s="14"/>
      <c r="H185" s="15"/>
      <c r="I185" s="15"/>
      <c r="J185" s="16"/>
      <c r="K185" s="12"/>
      <c r="L185" s="12"/>
      <c r="M185" s="16"/>
      <c r="N185" s="12"/>
      <c r="O185" s="17"/>
      <c r="P185" s="16"/>
      <c r="Q185" s="12"/>
      <c r="R185" s="15"/>
      <c r="S185" s="16" t="str">
        <f aca="false">IF(B185="","",IF(M185="Desestimada","Cerrado - desestimada",IF(AND(M185="Aplicada",OR(P185="Pagada",P185="Incluida en expensas")),"Cerrado - multa cobrada",IF(M185="Aplicada","Multa aplicada - impaga",IF(L185&lt;&gt;"","Descargo respondido - a resolver",IF(J185="Sí","Esperando respuesta descargo","Pendiente enviar descargo"))))))</f>
        <v/>
      </c>
      <c r="T185" s="18" t="str">
        <f aca="true">IF(B185="","",TODAY()-B185)</f>
        <v/>
      </c>
    </row>
    <row r="186" customFormat="false" ht="15" hidden="false" customHeight="false" outlineLevel="0" collapsed="false">
      <c r="A186" s="11" t="str">
        <f aca="false">IF(B186="","",ROW()-3)</f>
        <v/>
      </c>
      <c r="B186" s="12"/>
      <c r="C186" s="13"/>
      <c r="D186" s="14"/>
      <c r="E186" s="11"/>
      <c r="F186" s="15"/>
      <c r="G186" s="14"/>
      <c r="H186" s="15"/>
      <c r="I186" s="15"/>
      <c r="J186" s="16"/>
      <c r="K186" s="12"/>
      <c r="L186" s="12"/>
      <c r="M186" s="16"/>
      <c r="N186" s="12"/>
      <c r="O186" s="17"/>
      <c r="P186" s="16"/>
      <c r="Q186" s="12"/>
      <c r="R186" s="15"/>
      <c r="S186" s="16" t="str">
        <f aca="false">IF(B186="","",IF(M186="Desestimada","Cerrado - desestimada",IF(AND(M186="Aplicada",OR(P186="Pagada",P186="Incluida en expensas")),"Cerrado - multa cobrada",IF(M186="Aplicada","Multa aplicada - impaga",IF(L186&lt;&gt;"","Descargo respondido - a resolver",IF(J186="Sí","Esperando respuesta descargo","Pendiente enviar descargo"))))))</f>
        <v/>
      </c>
      <c r="T186" s="18" t="str">
        <f aca="true">IF(B186="","",TODAY()-B186)</f>
        <v/>
      </c>
    </row>
    <row r="187" customFormat="false" ht="15" hidden="false" customHeight="false" outlineLevel="0" collapsed="false">
      <c r="A187" s="11" t="str">
        <f aca="false">IF(B187="","",ROW()-3)</f>
        <v/>
      </c>
      <c r="B187" s="12"/>
      <c r="C187" s="13"/>
      <c r="D187" s="14"/>
      <c r="E187" s="11"/>
      <c r="F187" s="15"/>
      <c r="G187" s="14"/>
      <c r="H187" s="15"/>
      <c r="I187" s="15"/>
      <c r="J187" s="16"/>
      <c r="K187" s="12"/>
      <c r="L187" s="12"/>
      <c r="M187" s="16"/>
      <c r="N187" s="12"/>
      <c r="O187" s="17"/>
      <c r="P187" s="16"/>
      <c r="Q187" s="12"/>
      <c r="R187" s="15"/>
      <c r="S187" s="16" t="str">
        <f aca="false">IF(B187="","",IF(M187="Desestimada","Cerrado - desestimada",IF(AND(M187="Aplicada",OR(P187="Pagada",P187="Incluida en expensas")),"Cerrado - multa cobrada",IF(M187="Aplicada","Multa aplicada - impaga",IF(L187&lt;&gt;"","Descargo respondido - a resolver",IF(J187="Sí","Esperando respuesta descargo","Pendiente enviar descargo"))))))</f>
        <v/>
      </c>
      <c r="T187" s="18" t="str">
        <f aca="true">IF(B187="","",TODAY()-B187)</f>
        <v/>
      </c>
    </row>
    <row r="188" customFormat="false" ht="15" hidden="false" customHeight="false" outlineLevel="0" collapsed="false">
      <c r="A188" s="11" t="str">
        <f aca="false">IF(B188="","",ROW()-3)</f>
        <v/>
      </c>
      <c r="B188" s="12"/>
      <c r="C188" s="13"/>
      <c r="D188" s="14"/>
      <c r="E188" s="11"/>
      <c r="F188" s="15"/>
      <c r="G188" s="14"/>
      <c r="H188" s="15"/>
      <c r="I188" s="15"/>
      <c r="J188" s="16"/>
      <c r="K188" s="12"/>
      <c r="L188" s="12"/>
      <c r="M188" s="16"/>
      <c r="N188" s="12"/>
      <c r="O188" s="17"/>
      <c r="P188" s="16"/>
      <c r="Q188" s="12"/>
      <c r="R188" s="15"/>
      <c r="S188" s="16" t="str">
        <f aca="false">IF(B188="","",IF(M188="Desestimada","Cerrado - desestimada",IF(AND(M188="Aplicada",OR(P188="Pagada",P188="Incluida en expensas")),"Cerrado - multa cobrada",IF(M188="Aplicada","Multa aplicada - impaga",IF(L188&lt;&gt;"","Descargo respondido - a resolver",IF(J188="Sí","Esperando respuesta descargo","Pendiente enviar descargo"))))))</f>
        <v/>
      </c>
      <c r="T188" s="18" t="str">
        <f aca="true">IF(B188="","",TODAY()-B188)</f>
        <v/>
      </c>
    </row>
    <row r="189" customFormat="false" ht="15" hidden="false" customHeight="false" outlineLevel="0" collapsed="false">
      <c r="A189" s="11" t="str">
        <f aca="false">IF(B189="","",ROW()-3)</f>
        <v/>
      </c>
      <c r="B189" s="12"/>
      <c r="C189" s="13"/>
      <c r="D189" s="14"/>
      <c r="E189" s="11"/>
      <c r="F189" s="15"/>
      <c r="G189" s="14"/>
      <c r="H189" s="15"/>
      <c r="I189" s="15"/>
      <c r="J189" s="16"/>
      <c r="K189" s="12"/>
      <c r="L189" s="12"/>
      <c r="M189" s="16"/>
      <c r="N189" s="12"/>
      <c r="O189" s="17"/>
      <c r="P189" s="16"/>
      <c r="Q189" s="12"/>
      <c r="R189" s="15"/>
      <c r="S189" s="16" t="str">
        <f aca="false">IF(B189="","",IF(M189="Desestimada","Cerrado - desestimada",IF(AND(M189="Aplicada",OR(P189="Pagada",P189="Incluida en expensas")),"Cerrado - multa cobrada",IF(M189="Aplicada","Multa aplicada - impaga",IF(L189&lt;&gt;"","Descargo respondido - a resolver",IF(J189="Sí","Esperando respuesta descargo","Pendiente enviar descargo"))))))</f>
        <v/>
      </c>
      <c r="T189" s="18" t="str">
        <f aca="true">IF(B189="","",TODAY()-B189)</f>
        <v/>
      </c>
    </row>
    <row r="190" customFormat="false" ht="15" hidden="false" customHeight="false" outlineLevel="0" collapsed="false">
      <c r="A190" s="11" t="str">
        <f aca="false">IF(B190="","",ROW()-3)</f>
        <v/>
      </c>
      <c r="B190" s="12"/>
      <c r="C190" s="13"/>
      <c r="D190" s="14"/>
      <c r="E190" s="11"/>
      <c r="F190" s="15"/>
      <c r="G190" s="14"/>
      <c r="H190" s="15"/>
      <c r="I190" s="15"/>
      <c r="J190" s="16"/>
      <c r="K190" s="12"/>
      <c r="L190" s="12"/>
      <c r="M190" s="16"/>
      <c r="N190" s="12"/>
      <c r="O190" s="17"/>
      <c r="P190" s="16"/>
      <c r="Q190" s="12"/>
      <c r="R190" s="15"/>
      <c r="S190" s="16" t="str">
        <f aca="false">IF(B190="","",IF(M190="Desestimada","Cerrado - desestimada",IF(AND(M190="Aplicada",OR(P190="Pagada",P190="Incluida en expensas")),"Cerrado - multa cobrada",IF(M190="Aplicada","Multa aplicada - impaga",IF(L190&lt;&gt;"","Descargo respondido - a resolver",IF(J190="Sí","Esperando respuesta descargo","Pendiente enviar descargo"))))))</f>
        <v/>
      </c>
      <c r="T190" s="18" t="str">
        <f aca="true">IF(B190="","",TODAY()-B190)</f>
        <v/>
      </c>
    </row>
    <row r="191" customFormat="false" ht="15" hidden="false" customHeight="false" outlineLevel="0" collapsed="false">
      <c r="A191" s="11" t="str">
        <f aca="false">IF(B191="","",ROW()-3)</f>
        <v/>
      </c>
      <c r="B191" s="12"/>
      <c r="C191" s="13"/>
      <c r="D191" s="14"/>
      <c r="E191" s="11"/>
      <c r="F191" s="15"/>
      <c r="G191" s="14"/>
      <c r="H191" s="15"/>
      <c r="I191" s="15"/>
      <c r="J191" s="16"/>
      <c r="K191" s="12"/>
      <c r="L191" s="12"/>
      <c r="M191" s="16"/>
      <c r="N191" s="12"/>
      <c r="O191" s="17"/>
      <c r="P191" s="16"/>
      <c r="Q191" s="12"/>
      <c r="R191" s="15"/>
      <c r="S191" s="16" t="str">
        <f aca="false">IF(B191="","",IF(M191="Desestimada","Cerrado - desestimada",IF(AND(M191="Aplicada",OR(P191="Pagada",P191="Incluida en expensas")),"Cerrado - multa cobrada",IF(M191="Aplicada","Multa aplicada - impaga",IF(L191&lt;&gt;"","Descargo respondido - a resolver",IF(J191="Sí","Esperando respuesta descargo","Pendiente enviar descargo"))))))</f>
        <v/>
      </c>
      <c r="T191" s="18" t="str">
        <f aca="true">IF(B191="","",TODAY()-B191)</f>
        <v/>
      </c>
    </row>
    <row r="192" customFormat="false" ht="15" hidden="false" customHeight="false" outlineLevel="0" collapsed="false">
      <c r="A192" s="11" t="str">
        <f aca="false">IF(B192="","",ROW()-3)</f>
        <v/>
      </c>
      <c r="B192" s="12"/>
      <c r="C192" s="13"/>
      <c r="D192" s="14"/>
      <c r="E192" s="11"/>
      <c r="F192" s="15"/>
      <c r="G192" s="14"/>
      <c r="H192" s="15"/>
      <c r="I192" s="15"/>
      <c r="J192" s="16"/>
      <c r="K192" s="12"/>
      <c r="L192" s="12"/>
      <c r="M192" s="16"/>
      <c r="N192" s="12"/>
      <c r="O192" s="17"/>
      <c r="P192" s="16"/>
      <c r="Q192" s="12"/>
      <c r="R192" s="15"/>
      <c r="S192" s="16" t="str">
        <f aca="false">IF(B192="","",IF(M192="Desestimada","Cerrado - desestimada",IF(AND(M192="Aplicada",OR(P192="Pagada",P192="Incluida en expensas")),"Cerrado - multa cobrada",IF(M192="Aplicada","Multa aplicada - impaga",IF(L192&lt;&gt;"","Descargo respondido - a resolver",IF(J192="Sí","Esperando respuesta descargo","Pendiente enviar descargo"))))))</f>
        <v/>
      </c>
      <c r="T192" s="18" t="str">
        <f aca="true">IF(B192="","",TODAY()-B192)</f>
        <v/>
      </c>
    </row>
    <row r="193" customFormat="false" ht="15" hidden="false" customHeight="false" outlineLevel="0" collapsed="false">
      <c r="A193" s="11" t="str">
        <f aca="false">IF(B193="","",ROW()-3)</f>
        <v/>
      </c>
      <c r="B193" s="12"/>
      <c r="C193" s="13"/>
      <c r="D193" s="14"/>
      <c r="E193" s="11"/>
      <c r="F193" s="15"/>
      <c r="G193" s="14"/>
      <c r="H193" s="15"/>
      <c r="I193" s="15"/>
      <c r="J193" s="16"/>
      <c r="K193" s="12"/>
      <c r="L193" s="12"/>
      <c r="M193" s="16"/>
      <c r="N193" s="12"/>
      <c r="O193" s="17"/>
      <c r="P193" s="16"/>
      <c r="Q193" s="12"/>
      <c r="R193" s="15"/>
      <c r="S193" s="16" t="str">
        <f aca="false">IF(B193="","",IF(M193="Desestimada","Cerrado - desestimada",IF(AND(M193="Aplicada",OR(P193="Pagada",P193="Incluida en expensas")),"Cerrado - multa cobrada",IF(M193="Aplicada","Multa aplicada - impaga",IF(L193&lt;&gt;"","Descargo respondido - a resolver",IF(J193="Sí","Esperando respuesta descargo","Pendiente enviar descargo"))))))</f>
        <v/>
      </c>
      <c r="T193" s="18" t="str">
        <f aca="true">IF(B193="","",TODAY()-B193)</f>
        <v/>
      </c>
    </row>
    <row r="194" customFormat="false" ht="15" hidden="false" customHeight="false" outlineLevel="0" collapsed="false">
      <c r="A194" s="11" t="str">
        <f aca="false">IF(B194="","",ROW()-3)</f>
        <v/>
      </c>
      <c r="B194" s="12"/>
      <c r="C194" s="13"/>
      <c r="D194" s="14"/>
      <c r="E194" s="11"/>
      <c r="F194" s="15"/>
      <c r="G194" s="14"/>
      <c r="H194" s="15"/>
      <c r="I194" s="15"/>
      <c r="J194" s="16"/>
      <c r="K194" s="12"/>
      <c r="L194" s="12"/>
      <c r="M194" s="16"/>
      <c r="N194" s="12"/>
      <c r="O194" s="17"/>
      <c r="P194" s="16"/>
      <c r="Q194" s="12"/>
      <c r="R194" s="15"/>
      <c r="S194" s="16" t="str">
        <f aca="false">IF(B194="","",IF(M194="Desestimada","Cerrado - desestimada",IF(AND(M194="Aplicada",OR(P194="Pagada",P194="Incluida en expensas")),"Cerrado - multa cobrada",IF(M194="Aplicada","Multa aplicada - impaga",IF(L194&lt;&gt;"","Descargo respondido - a resolver",IF(J194="Sí","Esperando respuesta descargo","Pendiente enviar descargo"))))))</f>
        <v/>
      </c>
      <c r="T194" s="18" t="str">
        <f aca="true">IF(B194="","",TODAY()-B194)</f>
        <v/>
      </c>
    </row>
    <row r="195" customFormat="false" ht="15" hidden="false" customHeight="false" outlineLevel="0" collapsed="false">
      <c r="A195" s="11" t="str">
        <f aca="false">IF(B195="","",ROW()-3)</f>
        <v/>
      </c>
      <c r="B195" s="12"/>
      <c r="C195" s="13"/>
      <c r="D195" s="14"/>
      <c r="E195" s="11"/>
      <c r="F195" s="15"/>
      <c r="G195" s="14"/>
      <c r="H195" s="15"/>
      <c r="I195" s="15"/>
      <c r="J195" s="16"/>
      <c r="K195" s="12"/>
      <c r="L195" s="12"/>
      <c r="M195" s="16"/>
      <c r="N195" s="12"/>
      <c r="O195" s="17"/>
      <c r="P195" s="16"/>
      <c r="Q195" s="12"/>
      <c r="R195" s="15"/>
      <c r="S195" s="16" t="str">
        <f aca="false">IF(B195="","",IF(M195="Desestimada","Cerrado - desestimada",IF(AND(M195="Aplicada",OR(P195="Pagada",P195="Incluida en expensas")),"Cerrado - multa cobrada",IF(M195="Aplicada","Multa aplicada - impaga",IF(L195&lt;&gt;"","Descargo respondido - a resolver",IF(J195="Sí","Esperando respuesta descargo","Pendiente enviar descargo"))))))</f>
        <v/>
      </c>
      <c r="T195" s="18" t="str">
        <f aca="true">IF(B195="","",TODAY()-B195)</f>
        <v/>
      </c>
    </row>
    <row r="196" customFormat="false" ht="15" hidden="false" customHeight="false" outlineLevel="0" collapsed="false">
      <c r="A196" s="11" t="str">
        <f aca="false">IF(B196="","",ROW()-3)</f>
        <v/>
      </c>
      <c r="B196" s="12"/>
      <c r="C196" s="13"/>
      <c r="D196" s="14"/>
      <c r="E196" s="11"/>
      <c r="F196" s="15"/>
      <c r="G196" s="14"/>
      <c r="H196" s="15"/>
      <c r="I196" s="15"/>
      <c r="J196" s="16"/>
      <c r="K196" s="12"/>
      <c r="L196" s="12"/>
      <c r="M196" s="16"/>
      <c r="N196" s="12"/>
      <c r="O196" s="17"/>
      <c r="P196" s="16"/>
      <c r="Q196" s="12"/>
      <c r="R196" s="15"/>
      <c r="S196" s="16" t="str">
        <f aca="false">IF(B196="","",IF(M196="Desestimada","Cerrado - desestimada",IF(AND(M196="Aplicada",OR(P196="Pagada",P196="Incluida en expensas")),"Cerrado - multa cobrada",IF(M196="Aplicada","Multa aplicada - impaga",IF(L196&lt;&gt;"","Descargo respondido - a resolver",IF(J196="Sí","Esperando respuesta descargo","Pendiente enviar descargo"))))))</f>
        <v/>
      </c>
      <c r="T196" s="18" t="str">
        <f aca="true">IF(B196="","",TODAY()-B196)</f>
        <v/>
      </c>
    </row>
    <row r="197" customFormat="false" ht="15" hidden="false" customHeight="false" outlineLevel="0" collapsed="false">
      <c r="A197" s="11" t="str">
        <f aca="false">IF(B197="","",ROW()-3)</f>
        <v/>
      </c>
      <c r="B197" s="12"/>
      <c r="C197" s="13"/>
      <c r="D197" s="14"/>
      <c r="E197" s="11"/>
      <c r="F197" s="15"/>
      <c r="G197" s="14"/>
      <c r="H197" s="15"/>
      <c r="I197" s="15"/>
      <c r="J197" s="16"/>
      <c r="K197" s="12"/>
      <c r="L197" s="12"/>
      <c r="M197" s="16"/>
      <c r="N197" s="12"/>
      <c r="O197" s="17"/>
      <c r="P197" s="16"/>
      <c r="Q197" s="12"/>
      <c r="R197" s="15"/>
      <c r="S197" s="16" t="str">
        <f aca="false">IF(B197="","",IF(M197="Desestimada","Cerrado - desestimada",IF(AND(M197="Aplicada",OR(P197="Pagada",P197="Incluida en expensas")),"Cerrado - multa cobrada",IF(M197="Aplicada","Multa aplicada - impaga",IF(L197&lt;&gt;"","Descargo respondido - a resolver",IF(J197="Sí","Esperando respuesta descargo","Pendiente enviar descargo"))))))</f>
        <v/>
      </c>
      <c r="T197" s="18" t="str">
        <f aca="true">IF(B197="","",TODAY()-B197)</f>
        <v/>
      </c>
    </row>
    <row r="198" customFormat="false" ht="15" hidden="false" customHeight="false" outlineLevel="0" collapsed="false">
      <c r="A198" s="11" t="str">
        <f aca="false">IF(B198="","",ROW()-3)</f>
        <v/>
      </c>
      <c r="B198" s="12"/>
      <c r="C198" s="13"/>
      <c r="D198" s="14"/>
      <c r="E198" s="11"/>
      <c r="F198" s="15"/>
      <c r="G198" s="14"/>
      <c r="H198" s="15"/>
      <c r="I198" s="15"/>
      <c r="J198" s="16"/>
      <c r="K198" s="12"/>
      <c r="L198" s="12"/>
      <c r="M198" s="16"/>
      <c r="N198" s="12"/>
      <c r="O198" s="17"/>
      <c r="P198" s="16"/>
      <c r="Q198" s="12"/>
      <c r="R198" s="15"/>
      <c r="S198" s="16" t="str">
        <f aca="false">IF(B198="","",IF(M198="Desestimada","Cerrado - desestimada",IF(AND(M198="Aplicada",OR(P198="Pagada",P198="Incluida en expensas")),"Cerrado - multa cobrada",IF(M198="Aplicada","Multa aplicada - impaga",IF(L198&lt;&gt;"","Descargo respondido - a resolver",IF(J198="Sí","Esperando respuesta descargo","Pendiente enviar descargo"))))))</f>
        <v/>
      </c>
      <c r="T198" s="18" t="str">
        <f aca="true">IF(B198="","",TODAY()-B198)</f>
        <v/>
      </c>
    </row>
    <row r="199" customFormat="false" ht="15" hidden="false" customHeight="false" outlineLevel="0" collapsed="false">
      <c r="A199" s="11" t="str">
        <f aca="false">IF(B199="","",ROW()-3)</f>
        <v/>
      </c>
      <c r="B199" s="12"/>
      <c r="C199" s="13"/>
      <c r="D199" s="14"/>
      <c r="E199" s="11"/>
      <c r="F199" s="15"/>
      <c r="G199" s="14"/>
      <c r="H199" s="15"/>
      <c r="I199" s="15"/>
      <c r="J199" s="16"/>
      <c r="K199" s="12"/>
      <c r="L199" s="12"/>
      <c r="M199" s="16"/>
      <c r="N199" s="12"/>
      <c r="O199" s="17"/>
      <c r="P199" s="16"/>
      <c r="Q199" s="12"/>
      <c r="R199" s="15"/>
      <c r="S199" s="16" t="str">
        <f aca="false">IF(B199="","",IF(M199="Desestimada","Cerrado - desestimada",IF(AND(M199="Aplicada",OR(P199="Pagada",P199="Incluida en expensas")),"Cerrado - multa cobrada",IF(M199="Aplicada","Multa aplicada - impaga",IF(L199&lt;&gt;"","Descargo respondido - a resolver",IF(J199="Sí","Esperando respuesta descargo","Pendiente enviar descargo"))))))</f>
        <v/>
      </c>
      <c r="T199" s="18" t="str">
        <f aca="true">IF(B199="","",TODAY()-B199)</f>
        <v/>
      </c>
    </row>
    <row r="200" customFormat="false" ht="15" hidden="false" customHeight="false" outlineLevel="0" collapsed="false">
      <c r="A200" s="11" t="str">
        <f aca="false">IF(B200="","",ROW()-3)</f>
        <v/>
      </c>
      <c r="B200" s="12"/>
      <c r="C200" s="13"/>
      <c r="D200" s="14"/>
      <c r="E200" s="11"/>
      <c r="F200" s="15"/>
      <c r="G200" s="14"/>
      <c r="H200" s="15"/>
      <c r="I200" s="15"/>
      <c r="J200" s="16"/>
      <c r="K200" s="12"/>
      <c r="L200" s="12"/>
      <c r="M200" s="16"/>
      <c r="N200" s="12"/>
      <c r="O200" s="17"/>
      <c r="P200" s="16"/>
      <c r="Q200" s="12"/>
      <c r="R200" s="15"/>
      <c r="S200" s="16" t="str">
        <f aca="false">IF(B200="","",IF(M200="Desestimada","Cerrado - desestimada",IF(AND(M200="Aplicada",OR(P200="Pagada",P200="Incluida en expensas")),"Cerrado - multa cobrada",IF(M200="Aplicada","Multa aplicada - impaga",IF(L200&lt;&gt;"","Descargo respondido - a resolver",IF(J200="Sí","Esperando respuesta descargo","Pendiente enviar descargo"))))))</f>
        <v/>
      </c>
      <c r="T200" s="18" t="str">
        <f aca="true">IF(B200="","",TODAY()-B200)</f>
        <v/>
      </c>
    </row>
    <row r="201" customFormat="false" ht="15" hidden="false" customHeight="false" outlineLevel="0" collapsed="false">
      <c r="A201" s="11" t="str">
        <f aca="false">IF(B201="","",ROW()-3)</f>
        <v/>
      </c>
      <c r="B201" s="12"/>
      <c r="C201" s="13"/>
      <c r="D201" s="14"/>
      <c r="E201" s="11"/>
      <c r="F201" s="15"/>
      <c r="G201" s="14"/>
      <c r="H201" s="15"/>
      <c r="I201" s="15"/>
      <c r="J201" s="16"/>
      <c r="K201" s="12"/>
      <c r="L201" s="12"/>
      <c r="M201" s="16"/>
      <c r="N201" s="12"/>
      <c r="O201" s="17"/>
      <c r="P201" s="16"/>
      <c r="Q201" s="12"/>
      <c r="R201" s="15"/>
      <c r="S201" s="16" t="str">
        <f aca="false">IF(B201="","",IF(M201="Desestimada","Cerrado - desestimada",IF(AND(M201="Aplicada",OR(P201="Pagada",P201="Incluida en expensas")),"Cerrado - multa cobrada",IF(M201="Aplicada","Multa aplicada - impaga",IF(L201&lt;&gt;"","Descargo respondido - a resolver",IF(J201="Sí","Esperando respuesta descargo","Pendiente enviar descargo"))))))</f>
        <v/>
      </c>
      <c r="T201" s="18" t="str">
        <f aca="true">IF(B201="","",TODAY()-B201)</f>
        <v/>
      </c>
    </row>
    <row r="202" customFormat="false" ht="15" hidden="false" customHeight="false" outlineLevel="0" collapsed="false">
      <c r="A202" s="11" t="str">
        <f aca="false">IF(B202="","",ROW()-3)</f>
        <v/>
      </c>
      <c r="B202" s="12"/>
      <c r="C202" s="13"/>
      <c r="D202" s="14"/>
      <c r="E202" s="11"/>
      <c r="F202" s="15"/>
      <c r="G202" s="14"/>
      <c r="H202" s="15"/>
      <c r="I202" s="15"/>
      <c r="J202" s="16"/>
      <c r="K202" s="12"/>
      <c r="L202" s="12"/>
      <c r="M202" s="16"/>
      <c r="N202" s="12"/>
      <c r="O202" s="17"/>
      <c r="P202" s="16"/>
      <c r="Q202" s="12"/>
      <c r="R202" s="15"/>
      <c r="S202" s="16" t="str">
        <f aca="false">IF(B202="","",IF(M202="Desestimada","Cerrado - desestimada",IF(AND(M202="Aplicada",OR(P202="Pagada",P202="Incluida en expensas")),"Cerrado - multa cobrada",IF(M202="Aplicada","Multa aplicada - impaga",IF(L202&lt;&gt;"","Descargo respondido - a resolver",IF(J202="Sí","Esperando respuesta descargo","Pendiente enviar descargo"))))))</f>
        <v/>
      </c>
      <c r="T202" s="18" t="str">
        <f aca="true">IF(B202="","",TODAY()-B202)</f>
        <v/>
      </c>
    </row>
    <row r="203" customFormat="false" ht="15" hidden="false" customHeight="false" outlineLevel="0" collapsed="false">
      <c r="A203" s="11" t="str">
        <f aca="false">IF(B203="","",ROW()-3)</f>
        <v/>
      </c>
      <c r="B203" s="12"/>
      <c r="C203" s="13"/>
      <c r="D203" s="14"/>
      <c r="E203" s="11"/>
      <c r="F203" s="15"/>
      <c r="G203" s="14"/>
      <c r="H203" s="15"/>
      <c r="I203" s="15"/>
      <c r="J203" s="16"/>
      <c r="K203" s="12"/>
      <c r="L203" s="12"/>
      <c r="M203" s="16"/>
      <c r="N203" s="12"/>
      <c r="O203" s="17"/>
      <c r="P203" s="16"/>
      <c r="Q203" s="12"/>
      <c r="R203" s="15"/>
      <c r="S203" s="16" t="str">
        <f aca="false">IF(B203="","",IF(M203="Desestimada","Cerrado - desestimada",IF(AND(M203="Aplicada",OR(P203="Pagada",P203="Incluida en expensas")),"Cerrado - multa cobrada",IF(M203="Aplicada","Multa aplicada - impaga",IF(L203&lt;&gt;"","Descargo respondido - a resolver",IF(J203="Sí","Esperando respuesta descargo","Pendiente enviar descargo"))))))</f>
        <v/>
      </c>
      <c r="T203" s="18" t="str">
        <f aca="true">IF(B203="","",TODAY()-B203)</f>
        <v/>
      </c>
    </row>
    <row r="204" customFormat="false" ht="15" hidden="false" customHeight="false" outlineLevel="0" collapsed="false">
      <c r="A204" s="11" t="str">
        <f aca="false">IF(B204="","",ROW()-3)</f>
        <v/>
      </c>
      <c r="B204" s="12"/>
      <c r="C204" s="13"/>
      <c r="D204" s="14"/>
      <c r="E204" s="11"/>
      <c r="F204" s="15"/>
      <c r="G204" s="14"/>
      <c r="H204" s="15"/>
      <c r="I204" s="15"/>
      <c r="J204" s="16"/>
      <c r="K204" s="12"/>
      <c r="L204" s="12"/>
      <c r="M204" s="16"/>
      <c r="N204" s="12"/>
      <c r="O204" s="17"/>
      <c r="P204" s="16"/>
      <c r="Q204" s="12"/>
      <c r="R204" s="15"/>
      <c r="S204" s="16" t="str">
        <f aca="false">IF(B204="","",IF(M204="Desestimada","Cerrado - desestimada",IF(AND(M204="Aplicada",OR(P204="Pagada",P204="Incluida en expensas")),"Cerrado - multa cobrada",IF(M204="Aplicada","Multa aplicada - impaga",IF(L204&lt;&gt;"","Descargo respondido - a resolver",IF(J204="Sí","Esperando respuesta descargo","Pendiente enviar descargo"))))))</f>
        <v/>
      </c>
      <c r="T204" s="18" t="str">
        <f aca="true">IF(B204="","",TODAY()-B204)</f>
        <v/>
      </c>
    </row>
    <row r="205" customFormat="false" ht="15" hidden="false" customHeight="false" outlineLevel="0" collapsed="false">
      <c r="A205" s="11" t="str">
        <f aca="false">IF(B205="","",ROW()-3)</f>
        <v/>
      </c>
      <c r="B205" s="12"/>
      <c r="C205" s="13"/>
      <c r="D205" s="14"/>
      <c r="E205" s="11"/>
      <c r="F205" s="15"/>
      <c r="G205" s="14"/>
      <c r="H205" s="15"/>
      <c r="I205" s="15"/>
      <c r="J205" s="16"/>
      <c r="K205" s="12"/>
      <c r="L205" s="12"/>
      <c r="M205" s="16"/>
      <c r="N205" s="12"/>
      <c r="O205" s="17"/>
      <c r="P205" s="16"/>
      <c r="Q205" s="12"/>
      <c r="R205" s="15"/>
      <c r="S205" s="16" t="str">
        <f aca="false">IF(B205="","",IF(M205="Desestimada","Cerrado - desestimada",IF(AND(M205="Aplicada",OR(P205="Pagada",P205="Incluida en expensas")),"Cerrado - multa cobrada",IF(M205="Aplicada","Multa aplicada - impaga",IF(L205&lt;&gt;"","Descargo respondido - a resolver",IF(J205="Sí","Esperando respuesta descargo","Pendiente enviar descargo"))))))</f>
        <v/>
      </c>
      <c r="T205" s="18" t="str">
        <f aca="true">IF(B205="","",TODAY()-B205)</f>
        <v/>
      </c>
    </row>
    <row r="206" customFormat="false" ht="15" hidden="false" customHeight="false" outlineLevel="0" collapsed="false">
      <c r="A206" s="11" t="str">
        <f aca="false">IF(B206="","",ROW()-3)</f>
        <v/>
      </c>
      <c r="B206" s="12"/>
      <c r="C206" s="13"/>
      <c r="D206" s="14"/>
      <c r="E206" s="11"/>
      <c r="F206" s="15"/>
      <c r="G206" s="14"/>
      <c r="H206" s="15"/>
      <c r="I206" s="15"/>
      <c r="J206" s="16"/>
      <c r="K206" s="12"/>
      <c r="L206" s="12"/>
      <c r="M206" s="16"/>
      <c r="N206" s="12"/>
      <c r="O206" s="17"/>
      <c r="P206" s="16"/>
      <c r="Q206" s="12"/>
      <c r="R206" s="15"/>
      <c r="S206" s="16" t="str">
        <f aca="false">IF(B206="","",IF(M206="Desestimada","Cerrado - desestimada",IF(AND(M206="Aplicada",OR(P206="Pagada",P206="Incluida en expensas")),"Cerrado - multa cobrada",IF(M206="Aplicada","Multa aplicada - impaga",IF(L206&lt;&gt;"","Descargo respondido - a resolver",IF(J206="Sí","Esperando respuesta descargo","Pendiente enviar descargo"))))))</f>
        <v/>
      </c>
      <c r="T206" s="18" t="str">
        <f aca="true">IF(B206="","",TODAY()-B206)</f>
        <v/>
      </c>
    </row>
    <row r="207" customFormat="false" ht="15" hidden="false" customHeight="false" outlineLevel="0" collapsed="false">
      <c r="A207" s="11" t="str">
        <f aca="false">IF(B207="","",ROW()-3)</f>
        <v/>
      </c>
      <c r="B207" s="12"/>
      <c r="C207" s="13"/>
      <c r="D207" s="14"/>
      <c r="E207" s="11"/>
      <c r="F207" s="15"/>
      <c r="G207" s="14"/>
      <c r="H207" s="15"/>
      <c r="I207" s="15"/>
      <c r="J207" s="16"/>
      <c r="K207" s="12"/>
      <c r="L207" s="12"/>
      <c r="M207" s="16"/>
      <c r="N207" s="12"/>
      <c r="O207" s="17"/>
      <c r="P207" s="16"/>
      <c r="Q207" s="12"/>
      <c r="R207" s="15"/>
      <c r="S207" s="16" t="str">
        <f aca="false">IF(B207="","",IF(M207="Desestimada","Cerrado - desestimada",IF(AND(M207="Aplicada",OR(P207="Pagada",P207="Incluida en expensas")),"Cerrado - multa cobrada",IF(M207="Aplicada","Multa aplicada - impaga",IF(L207&lt;&gt;"","Descargo respondido - a resolver",IF(J207="Sí","Esperando respuesta descargo","Pendiente enviar descargo"))))))</f>
        <v/>
      </c>
      <c r="T207" s="18" t="str">
        <f aca="true">IF(B207="","",TODAY()-B207)</f>
        <v/>
      </c>
    </row>
    <row r="208" customFormat="false" ht="15" hidden="false" customHeight="false" outlineLevel="0" collapsed="false">
      <c r="A208" s="11" t="str">
        <f aca="false">IF(B208="","",ROW()-3)</f>
        <v/>
      </c>
      <c r="B208" s="12"/>
      <c r="C208" s="13"/>
      <c r="D208" s="14"/>
      <c r="E208" s="11"/>
      <c r="F208" s="15"/>
      <c r="G208" s="14"/>
      <c r="H208" s="15"/>
      <c r="I208" s="15"/>
      <c r="J208" s="16"/>
      <c r="K208" s="12"/>
      <c r="L208" s="12"/>
      <c r="M208" s="16"/>
      <c r="N208" s="12"/>
      <c r="O208" s="17"/>
      <c r="P208" s="16"/>
      <c r="Q208" s="12"/>
      <c r="R208" s="15"/>
      <c r="S208" s="16" t="str">
        <f aca="false">IF(B208="","",IF(M208="Desestimada","Cerrado - desestimada",IF(AND(M208="Aplicada",OR(P208="Pagada",P208="Incluida en expensas")),"Cerrado - multa cobrada",IF(M208="Aplicada","Multa aplicada - impaga",IF(L208&lt;&gt;"","Descargo respondido - a resolver",IF(J208="Sí","Esperando respuesta descargo","Pendiente enviar descargo"))))))</f>
        <v/>
      </c>
      <c r="T208" s="18" t="str">
        <f aca="true">IF(B208="","",TODAY()-B208)</f>
        <v/>
      </c>
    </row>
    <row r="209" customFormat="false" ht="15" hidden="false" customHeight="false" outlineLevel="0" collapsed="false">
      <c r="A209" s="11" t="str">
        <f aca="false">IF(B209="","",ROW()-3)</f>
        <v/>
      </c>
      <c r="B209" s="12"/>
      <c r="C209" s="13"/>
      <c r="D209" s="14"/>
      <c r="E209" s="11"/>
      <c r="F209" s="15"/>
      <c r="G209" s="14"/>
      <c r="H209" s="15"/>
      <c r="I209" s="15"/>
      <c r="J209" s="16"/>
      <c r="K209" s="12"/>
      <c r="L209" s="12"/>
      <c r="M209" s="16"/>
      <c r="N209" s="12"/>
      <c r="O209" s="17"/>
      <c r="P209" s="16"/>
      <c r="Q209" s="12"/>
      <c r="R209" s="15"/>
      <c r="S209" s="16" t="str">
        <f aca="false">IF(B209="","",IF(M209="Desestimada","Cerrado - desestimada",IF(AND(M209="Aplicada",OR(P209="Pagada",P209="Incluida en expensas")),"Cerrado - multa cobrada",IF(M209="Aplicada","Multa aplicada - impaga",IF(L209&lt;&gt;"","Descargo respondido - a resolver",IF(J209="Sí","Esperando respuesta descargo","Pendiente enviar descargo"))))))</f>
        <v/>
      </c>
      <c r="T209" s="18" t="str">
        <f aca="true">IF(B209="","",TODAY()-B209)</f>
        <v/>
      </c>
    </row>
    <row r="210" customFormat="false" ht="15" hidden="false" customHeight="false" outlineLevel="0" collapsed="false">
      <c r="A210" s="11" t="str">
        <f aca="false">IF(B210="","",ROW()-3)</f>
        <v/>
      </c>
      <c r="B210" s="12"/>
      <c r="C210" s="13"/>
      <c r="D210" s="14"/>
      <c r="E210" s="11"/>
      <c r="F210" s="15"/>
      <c r="G210" s="14"/>
      <c r="H210" s="15"/>
      <c r="I210" s="15"/>
      <c r="J210" s="16"/>
      <c r="K210" s="12"/>
      <c r="L210" s="12"/>
      <c r="M210" s="16"/>
      <c r="N210" s="12"/>
      <c r="O210" s="17"/>
      <c r="P210" s="16"/>
      <c r="Q210" s="12"/>
      <c r="R210" s="15"/>
      <c r="S210" s="16" t="str">
        <f aca="false">IF(B210="","",IF(M210="Desestimada","Cerrado - desestimada",IF(AND(M210="Aplicada",OR(P210="Pagada",P210="Incluida en expensas")),"Cerrado - multa cobrada",IF(M210="Aplicada","Multa aplicada - impaga",IF(L210&lt;&gt;"","Descargo respondido - a resolver",IF(J210="Sí","Esperando respuesta descargo","Pendiente enviar descargo"))))))</f>
        <v/>
      </c>
      <c r="T210" s="18" t="str">
        <f aca="true">IF(B210="","",TODAY()-B210)</f>
        <v/>
      </c>
    </row>
    <row r="211" customFormat="false" ht="15" hidden="false" customHeight="false" outlineLevel="0" collapsed="false">
      <c r="A211" s="11" t="str">
        <f aca="false">IF(B211="","",ROW()-3)</f>
        <v/>
      </c>
      <c r="B211" s="12"/>
      <c r="C211" s="13"/>
      <c r="D211" s="14"/>
      <c r="E211" s="11"/>
      <c r="F211" s="15"/>
      <c r="G211" s="14"/>
      <c r="H211" s="15"/>
      <c r="I211" s="15"/>
      <c r="J211" s="16"/>
      <c r="K211" s="12"/>
      <c r="L211" s="12"/>
      <c r="M211" s="16"/>
      <c r="N211" s="12"/>
      <c r="O211" s="17"/>
      <c r="P211" s="16"/>
      <c r="Q211" s="12"/>
      <c r="R211" s="15"/>
      <c r="S211" s="16" t="str">
        <f aca="false">IF(B211="","",IF(M211="Desestimada","Cerrado - desestimada",IF(AND(M211="Aplicada",OR(P211="Pagada",P211="Incluida en expensas")),"Cerrado - multa cobrada",IF(M211="Aplicada","Multa aplicada - impaga",IF(L211&lt;&gt;"","Descargo respondido - a resolver",IF(J211="Sí","Esperando respuesta descargo","Pendiente enviar descargo"))))))</f>
        <v/>
      </c>
      <c r="T211" s="18" t="str">
        <f aca="true">IF(B211="","",TODAY()-B211)</f>
        <v/>
      </c>
    </row>
    <row r="212" customFormat="false" ht="15" hidden="false" customHeight="false" outlineLevel="0" collapsed="false">
      <c r="A212" s="11" t="str">
        <f aca="false">IF(B212="","",ROW()-3)</f>
        <v/>
      </c>
      <c r="B212" s="12"/>
      <c r="C212" s="13"/>
      <c r="D212" s="14"/>
      <c r="E212" s="11"/>
      <c r="F212" s="15"/>
      <c r="G212" s="14"/>
      <c r="H212" s="15"/>
      <c r="I212" s="15"/>
      <c r="J212" s="16"/>
      <c r="K212" s="12"/>
      <c r="L212" s="12"/>
      <c r="M212" s="16"/>
      <c r="N212" s="12"/>
      <c r="O212" s="17"/>
      <c r="P212" s="16"/>
      <c r="Q212" s="12"/>
      <c r="R212" s="15"/>
      <c r="S212" s="16" t="str">
        <f aca="false">IF(B212="","",IF(M212="Desestimada","Cerrado - desestimada",IF(AND(M212="Aplicada",OR(P212="Pagada",P212="Incluida en expensas")),"Cerrado - multa cobrada",IF(M212="Aplicada","Multa aplicada - impaga",IF(L212&lt;&gt;"","Descargo respondido - a resolver",IF(J212="Sí","Esperando respuesta descargo","Pendiente enviar descargo"))))))</f>
        <v/>
      </c>
      <c r="T212" s="18" t="str">
        <f aca="true">IF(B212="","",TODAY()-B212)</f>
        <v/>
      </c>
    </row>
    <row r="213" customFormat="false" ht="15" hidden="false" customHeight="false" outlineLevel="0" collapsed="false">
      <c r="A213" s="11" t="str">
        <f aca="false">IF(B213="","",ROW()-3)</f>
        <v/>
      </c>
      <c r="B213" s="12"/>
      <c r="C213" s="13"/>
      <c r="D213" s="14"/>
      <c r="E213" s="11"/>
      <c r="F213" s="15"/>
      <c r="G213" s="14"/>
      <c r="H213" s="15"/>
      <c r="I213" s="15"/>
      <c r="J213" s="16"/>
      <c r="K213" s="12"/>
      <c r="L213" s="12"/>
      <c r="M213" s="16"/>
      <c r="N213" s="12"/>
      <c r="O213" s="17"/>
      <c r="P213" s="16"/>
      <c r="Q213" s="12"/>
      <c r="R213" s="15"/>
      <c r="S213" s="16" t="str">
        <f aca="false">IF(B213="","",IF(M213="Desestimada","Cerrado - desestimada",IF(AND(M213="Aplicada",OR(P213="Pagada",P213="Incluida en expensas")),"Cerrado - multa cobrada",IF(M213="Aplicada","Multa aplicada - impaga",IF(L213&lt;&gt;"","Descargo respondido - a resolver",IF(J213="Sí","Esperando respuesta descargo","Pendiente enviar descargo"))))))</f>
        <v/>
      </c>
      <c r="T213" s="18" t="str">
        <f aca="true">IF(B213="","",TODAY()-B213)</f>
        <v/>
      </c>
    </row>
    <row r="214" customFormat="false" ht="15" hidden="false" customHeight="false" outlineLevel="0" collapsed="false">
      <c r="A214" s="11" t="str">
        <f aca="false">IF(B214="","",ROW()-3)</f>
        <v/>
      </c>
      <c r="B214" s="12"/>
      <c r="C214" s="13"/>
      <c r="D214" s="14"/>
      <c r="E214" s="11"/>
      <c r="F214" s="15"/>
      <c r="G214" s="14"/>
      <c r="H214" s="15"/>
      <c r="I214" s="15"/>
      <c r="J214" s="16"/>
      <c r="K214" s="12"/>
      <c r="L214" s="12"/>
      <c r="M214" s="16"/>
      <c r="N214" s="12"/>
      <c r="O214" s="17"/>
      <c r="P214" s="16"/>
      <c r="Q214" s="12"/>
      <c r="R214" s="15"/>
      <c r="S214" s="16" t="str">
        <f aca="false">IF(B214="","",IF(M214="Desestimada","Cerrado - desestimada",IF(AND(M214="Aplicada",OR(P214="Pagada",P214="Incluida en expensas")),"Cerrado - multa cobrada",IF(M214="Aplicada","Multa aplicada - impaga",IF(L214&lt;&gt;"","Descargo respondido - a resolver",IF(J214="Sí","Esperando respuesta descargo","Pendiente enviar descargo"))))))</f>
        <v/>
      </c>
      <c r="T214" s="18" t="str">
        <f aca="true">IF(B214="","",TODAY()-B214)</f>
        <v/>
      </c>
    </row>
    <row r="215" customFormat="false" ht="15" hidden="false" customHeight="false" outlineLevel="0" collapsed="false">
      <c r="A215" s="11" t="str">
        <f aca="false">IF(B215="","",ROW()-3)</f>
        <v/>
      </c>
      <c r="B215" s="12"/>
      <c r="C215" s="13"/>
      <c r="D215" s="14"/>
      <c r="E215" s="11"/>
      <c r="F215" s="15"/>
      <c r="G215" s="14"/>
      <c r="H215" s="15"/>
      <c r="I215" s="15"/>
      <c r="J215" s="16"/>
      <c r="K215" s="12"/>
      <c r="L215" s="12"/>
      <c r="M215" s="16"/>
      <c r="N215" s="12"/>
      <c r="O215" s="17"/>
      <c r="P215" s="16"/>
      <c r="Q215" s="12"/>
      <c r="R215" s="15"/>
      <c r="S215" s="16" t="str">
        <f aca="false">IF(B215="","",IF(M215="Desestimada","Cerrado - desestimada",IF(AND(M215="Aplicada",OR(P215="Pagada",P215="Incluida en expensas")),"Cerrado - multa cobrada",IF(M215="Aplicada","Multa aplicada - impaga",IF(L215&lt;&gt;"","Descargo respondido - a resolver",IF(J215="Sí","Esperando respuesta descargo","Pendiente enviar descargo"))))))</f>
        <v/>
      </c>
      <c r="T215" s="18" t="str">
        <f aca="true">IF(B215="","",TODAY()-B215)</f>
        <v/>
      </c>
    </row>
    <row r="216" customFormat="false" ht="15" hidden="false" customHeight="false" outlineLevel="0" collapsed="false">
      <c r="A216" s="11" t="str">
        <f aca="false">IF(B216="","",ROW()-3)</f>
        <v/>
      </c>
      <c r="B216" s="12"/>
      <c r="C216" s="13"/>
      <c r="D216" s="14"/>
      <c r="E216" s="11"/>
      <c r="F216" s="15"/>
      <c r="G216" s="14"/>
      <c r="H216" s="15"/>
      <c r="I216" s="15"/>
      <c r="J216" s="16"/>
      <c r="K216" s="12"/>
      <c r="L216" s="12"/>
      <c r="M216" s="16"/>
      <c r="N216" s="12"/>
      <c r="O216" s="17"/>
      <c r="P216" s="16"/>
      <c r="Q216" s="12"/>
      <c r="R216" s="15"/>
      <c r="S216" s="16" t="str">
        <f aca="false">IF(B216="","",IF(M216="Desestimada","Cerrado - desestimada",IF(AND(M216="Aplicada",OR(P216="Pagada",P216="Incluida en expensas")),"Cerrado - multa cobrada",IF(M216="Aplicada","Multa aplicada - impaga",IF(L216&lt;&gt;"","Descargo respondido - a resolver",IF(J216="Sí","Esperando respuesta descargo","Pendiente enviar descargo"))))))</f>
        <v/>
      </c>
      <c r="T216" s="18" t="str">
        <f aca="true">IF(B216="","",TODAY()-B216)</f>
        <v/>
      </c>
    </row>
    <row r="217" customFormat="false" ht="15" hidden="false" customHeight="false" outlineLevel="0" collapsed="false">
      <c r="A217" s="11" t="str">
        <f aca="false">IF(B217="","",ROW()-3)</f>
        <v/>
      </c>
      <c r="B217" s="12"/>
      <c r="C217" s="13"/>
      <c r="D217" s="14"/>
      <c r="E217" s="11"/>
      <c r="F217" s="15"/>
      <c r="G217" s="14"/>
      <c r="H217" s="15"/>
      <c r="I217" s="15"/>
      <c r="J217" s="16"/>
      <c r="K217" s="12"/>
      <c r="L217" s="12"/>
      <c r="M217" s="16"/>
      <c r="N217" s="12"/>
      <c r="O217" s="17"/>
      <c r="P217" s="16"/>
      <c r="Q217" s="12"/>
      <c r="R217" s="15"/>
      <c r="S217" s="16" t="str">
        <f aca="false">IF(B217="","",IF(M217="Desestimada","Cerrado - desestimada",IF(AND(M217="Aplicada",OR(P217="Pagada",P217="Incluida en expensas")),"Cerrado - multa cobrada",IF(M217="Aplicada","Multa aplicada - impaga",IF(L217&lt;&gt;"","Descargo respondido - a resolver",IF(J217="Sí","Esperando respuesta descargo","Pendiente enviar descargo"))))))</f>
        <v/>
      </c>
      <c r="T217" s="18" t="str">
        <f aca="true">IF(B217="","",TODAY()-B217)</f>
        <v/>
      </c>
    </row>
    <row r="218" customFormat="false" ht="15" hidden="false" customHeight="false" outlineLevel="0" collapsed="false">
      <c r="A218" s="11" t="str">
        <f aca="false">IF(B218="","",ROW()-3)</f>
        <v/>
      </c>
      <c r="B218" s="12"/>
      <c r="C218" s="13"/>
      <c r="D218" s="14"/>
      <c r="E218" s="11"/>
      <c r="F218" s="15"/>
      <c r="G218" s="14"/>
      <c r="H218" s="15"/>
      <c r="I218" s="15"/>
      <c r="J218" s="16"/>
      <c r="K218" s="12"/>
      <c r="L218" s="12"/>
      <c r="M218" s="16"/>
      <c r="N218" s="12"/>
      <c r="O218" s="17"/>
      <c r="P218" s="16"/>
      <c r="Q218" s="12"/>
      <c r="R218" s="15"/>
      <c r="S218" s="16" t="str">
        <f aca="false">IF(B218="","",IF(M218="Desestimada","Cerrado - desestimada",IF(AND(M218="Aplicada",OR(P218="Pagada",P218="Incluida en expensas")),"Cerrado - multa cobrada",IF(M218="Aplicada","Multa aplicada - impaga",IF(L218&lt;&gt;"","Descargo respondido - a resolver",IF(J218="Sí","Esperando respuesta descargo","Pendiente enviar descargo"))))))</f>
        <v/>
      </c>
      <c r="T218" s="18" t="str">
        <f aca="true">IF(B218="","",TODAY()-B218)</f>
        <v/>
      </c>
    </row>
    <row r="219" customFormat="false" ht="15" hidden="false" customHeight="false" outlineLevel="0" collapsed="false">
      <c r="A219" s="11" t="str">
        <f aca="false">IF(B219="","",ROW()-3)</f>
        <v/>
      </c>
      <c r="B219" s="12"/>
      <c r="C219" s="13"/>
      <c r="D219" s="14"/>
      <c r="E219" s="11"/>
      <c r="F219" s="15"/>
      <c r="G219" s="14"/>
      <c r="H219" s="15"/>
      <c r="I219" s="15"/>
      <c r="J219" s="16"/>
      <c r="K219" s="12"/>
      <c r="L219" s="12"/>
      <c r="M219" s="16"/>
      <c r="N219" s="12"/>
      <c r="O219" s="17"/>
      <c r="P219" s="16"/>
      <c r="Q219" s="12"/>
      <c r="R219" s="15"/>
      <c r="S219" s="16" t="str">
        <f aca="false">IF(B219="","",IF(M219="Desestimada","Cerrado - desestimada",IF(AND(M219="Aplicada",OR(P219="Pagada",P219="Incluida en expensas")),"Cerrado - multa cobrada",IF(M219="Aplicada","Multa aplicada - impaga",IF(L219&lt;&gt;"","Descargo respondido - a resolver",IF(J219="Sí","Esperando respuesta descargo","Pendiente enviar descargo"))))))</f>
        <v/>
      </c>
      <c r="T219" s="18" t="str">
        <f aca="true">IF(B219="","",TODAY()-B219)</f>
        <v/>
      </c>
    </row>
    <row r="220" customFormat="false" ht="15" hidden="false" customHeight="false" outlineLevel="0" collapsed="false">
      <c r="A220" s="11" t="str">
        <f aca="false">IF(B220="","",ROW()-3)</f>
        <v/>
      </c>
      <c r="B220" s="12"/>
      <c r="C220" s="13"/>
      <c r="D220" s="14"/>
      <c r="E220" s="11"/>
      <c r="F220" s="15"/>
      <c r="G220" s="14"/>
      <c r="H220" s="15"/>
      <c r="I220" s="15"/>
      <c r="J220" s="16"/>
      <c r="K220" s="12"/>
      <c r="L220" s="12"/>
      <c r="M220" s="16"/>
      <c r="N220" s="12"/>
      <c r="O220" s="17"/>
      <c r="P220" s="16"/>
      <c r="Q220" s="12"/>
      <c r="R220" s="15"/>
      <c r="S220" s="16" t="str">
        <f aca="false">IF(B220="","",IF(M220="Desestimada","Cerrado - desestimada",IF(AND(M220="Aplicada",OR(P220="Pagada",P220="Incluida en expensas")),"Cerrado - multa cobrada",IF(M220="Aplicada","Multa aplicada - impaga",IF(L220&lt;&gt;"","Descargo respondido - a resolver",IF(J220="Sí","Esperando respuesta descargo","Pendiente enviar descargo"))))))</f>
        <v/>
      </c>
      <c r="T220" s="18" t="str">
        <f aca="true">IF(B220="","",TODAY()-B220)</f>
        <v/>
      </c>
    </row>
    <row r="221" customFormat="false" ht="15" hidden="false" customHeight="false" outlineLevel="0" collapsed="false">
      <c r="A221" s="11" t="str">
        <f aca="false">IF(B221="","",ROW()-3)</f>
        <v/>
      </c>
      <c r="B221" s="12"/>
      <c r="C221" s="13"/>
      <c r="D221" s="14"/>
      <c r="E221" s="11"/>
      <c r="F221" s="15"/>
      <c r="G221" s="14"/>
      <c r="H221" s="15"/>
      <c r="I221" s="15"/>
      <c r="J221" s="16"/>
      <c r="K221" s="12"/>
      <c r="L221" s="12"/>
      <c r="M221" s="16"/>
      <c r="N221" s="12"/>
      <c r="O221" s="17"/>
      <c r="P221" s="16"/>
      <c r="Q221" s="12"/>
      <c r="R221" s="15"/>
      <c r="S221" s="16" t="str">
        <f aca="false">IF(B221="","",IF(M221="Desestimada","Cerrado - desestimada",IF(AND(M221="Aplicada",OR(P221="Pagada",P221="Incluida en expensas")),"Cerrado - multa cobrada",IF(M221="Aplicada","Multa aplicada - impaga",IF(L221&lt;&gt;"","Descargo respondido - a resolver",IF(J221="Sí","Esperando respuesta descargo","Pendiente enviar descargo"))))))</f>
        <v/>
      </c>
      <c r="T221" s="18" t="str">
        <f aca="true">IF(B221="","",TODAY()-B221)</f>
        <v/>
      </c>
    </row>
    <row r="222" customFormat="false" ht="15" hidden="false" customHeight="false" outlineLevel="0" collapsed="false">
      <c r="A222" s="11" t="str">
        <f aca="false">IF(B222="","",ROW()-3)</f>
        <v/>
      </c>
      <c r="B222" s="12"/>
      <c r="C222" s="13"/>
      <c r="D222" s="14"/>
      <c r="E222" s="11"/>
      <c r="F222" s="15"/>
      <c r="G222" s="14"/>
      <c r="H222" s="15"/>
      <c r="I222" s="15"/>
      <c r="J222" s="16"/>
      <c r="K222" s="12"/>
      <c r="L222" s="12"/>
      <c r="M222" s="16"/>
      <c r="N222" s="12"/>
      <c r="O222" s="17"/>
      <c r="P222" s="16"/>
      <c r="Q222" s="12"/>
      <c r="R222" s="15"/>
      <c r="S222" s="16" t="str">
        <f aca="false">IF(B222="","",IF(M222="Desestimada","Cerrado - desestimada",IF(AND(M222="Aplicada",OR(P222="Pagada",P222="Incluida en expensas")),"Cerrado - multa cobrada",IF(M222="Aplicada","Multa aplicada - impaga",IF(L222&lt;&gt;"","Descargo respondido - a resolver",IF(J222="Sí","Esperando respuesta descargo","Pendiente enviar descargo"))))))</f>
        <v/>
      </c>
      <c r="T222" s="18" t="str">
        <f aca="true">IF(B222="","",TODAY()-B222)</f>
        <v/>
      </c>
    </row>
    <row r="223" customFormat="false" ht="15" hidden="false" customHeight="false" outlineLevel="0" collapsed="false">
      <c r="A223" s="11" t="str">
        <f aca="false">IF(B223="","",ROW()-3)</f>
        <v/>
      </c>
      <c r="B223" s="12"/>
      <c r="C223" s="13"/>
      <c r="D223" s="14"/>
      <c r="E223" s="11"/>
      <c r="F223" s="15"/>
      <c r="G223" s="14"/>
      <c r="H223" s="15"/>
      <c r="I223" s="15"/>
      <c r="J223" s="16"/>
      <c r="K223" s="12"/>
      <c r="L223" s="12"/>
      <c r="M223" s="16"/>
      <c r="N223" s="12"/>
      <c r="O223" s="17"/>
      <c r="P223" s="16"/>
      <c r="Q223" s="12"/>
      <c r="R223" s="15"/>
      <c r="S223" s="16" t="str">
        <f aca="false">IF(B223="","",IF(M223="Desestimada","Cerrado - desestimada",IF(AND(M223="Aplicada",OR(P223="Pagada",P223="Incluida en expensas")),"Cerrado - multa cobrada",IF(M223="Aplicada","Multa aplicada - impaga",IF(L223&lt;&gt;"","Descargo respondido - a resolver",IF(J223="Sí","Esperando respuesta descargo","Pendiente enviar descargo"))))))</f>
        <v/>
      </c>
      <c r="T223" s="18" t="str">
        <f aca="true">IF(B223="","",TODAY()-B223)</f>
        <v/>
      </c>
    </row>
    <row r="224" customFormat="false" ht="15" hidden="false" customHeight="false" outlineLevel="0" collapsed="false">
      <c r="A224" s="11" t="str">
        <f aca="false">IF(B224="","",ROW()-3)</f>
        <v/>
      </c>
      <c r="B224" s="12"/>
      <c r="C224" s="13"/>
      <c r="D224" s="14"/>
      <c r="E224" s="11"/>
      <c r="F224" s="15"/>
      <c r="G224" s="14"/>
      <c r="H224" s="15"/>
      <c r="I224" s="15"/>
      <c r="J224" s="16"/>
      <c r="K224" s="12"/>
      <c r="L224" s="12"/>
      <c r="M224" s="16"/>
      <c r="N224" s="12"/>
      <c r="O224" s="17"/>
      <c r="P224" s="16"/>
      <c r="Q224" s="12"/>
      <c r="R224" s="15"/>
      <c r="S224" s="16" t="str">
        <f aca="false">IF(B224="","",IF(M224="Desestimada","Cerrado - desestimada",IF(AND(M224="Aplicada",OR(P224="Pagada",P224="Incluida en expensas")),"Cerrado - multa cobrada",IF(M224="Aplicada","Multa aplicada - impaga",IF(L224&lt;&gt;"","Descargo respondido - a resolver",IF(J224="Sí","Esperando respuesta descargo","Pendiente enviar descargo"))))))</f>
        <v/>
      </c>
      <c r="T224" s="18" t="str">
        <f aca="true">IF(B224="","",TODAY()-B224)</f>
        <v/>
      </c>
    </row>
    <row r="225" customFormat="false" ht="15" hidden="false" customHeight="false" outlineLevel="0" collapsed="false">
      <c r="A225" s="11" t="str">
        <f aca="false">IF(B225="","",ROW()-3)</f>
        <v/>
      </c>
      <c r="B225" s="12"/>
      <c r="C225" s="13"/>
      <c r="D225" s="14"/>
      <c r="E225" s="11"/>
      <c r="F225" s="15"/>
      <c r="G225" s="14"/>
      <c r="H225" s="15"/>
      <c r="I225" s="15"/>
      <c r="J225" s="16"/>
      <c r="K225" s="12"/>
      <c r="L225" s="12"/>
      <c r="M225" s="16"/>
      <c r="N225" s="12"/>
      <c r="O225" s="17"/>
      <c r="P225" s="16"/>
      <c r="Q225" s="12"/>
      <c r="R225" s="15"/>
      <c r="S225" s="16" t="str">
        <f aca="false">IF(B225="","",IF(M225="Desestimada","Cerrado - desestimada",IF(AND(M225="Aplicada",OR(P225="Pagada",P225="Incluida en expensas")),"Cerrado - multa cobrada",IF(M225="Aplicada","Multa aplicada - impaga",IF(L225&lt;&gt;"","Descargo respondido - a resolver",IF(J225="Sí","Esperando respuesta descargo","Pendiente enviar descargo"))))))</f>
        <v/>
      </c>
      <c r="T225" s="18" t="str">
        <f aca="true">IF(B225="","",TODAY()-B225)</f>
        <v/>
      </c>
    </row>
    <row r="226" customFormat="false" ht="15" hidden="false" customHeight="false" outlineLevel="0" collapsed="false">
      <c r="A226" s="11" t="str">
        <f aca="false">IF(B226="","",ROW()-3)</f>
        <v/>
      </c>
      <c r="B226" s="12"/>
      <c r="C226" s="13"/>
      <c r="D226" s="14"/>
      <c r="E226" s="11"/>
      <c r="F226" s="15"/>
      <c r="G226" s="14"/>
      <c r="H226" s="15"/>
      <c r="I226" s="15"/>
      <c r="J226" s="16"/>
      <c r="K226" s="12"/>
      <c r="L226" s="12"/>
      <c r="M226" s="16"/>
      <c r="N226" s="12"/>
      <c r="O226" s="17"/>
      <c r="P226" s="16"/>
      <c r="Q226" s="12"/>
      <c r="R226" s="15"/>
      <c r="S226" s="16" t="str">
        <f aca="false">IF(B226="","",IF(M226="Desestimada","Cerrado - desestimada",IF(AND(M226="Aplicada",OR(P226="Pagada",P226="Incluida en expensas")),"Cerrado - multa cobrada",IF(M226="Aplicada","Multa aplicada - impaga",IF(L226&lt;&gt;"","Descargo respondido - a resolver",IF(J226="Sí","Esperando respuesta descargo","Pendiente enviar descargo"))))))</f>
        <v/>
      </c>
      <c r="T226" s="18" t="str">
        <f aca="true">IF(B226="","",TODAY()-B226)</f>
        <v/>
      </c>
    </row>
    <row r="227" customFormat="false" ht="15" hidden="false" customHeight="false" outlineLevel="0" collapsed="false">
      <c r="A227" s="11" t="str">
        <f aca="false">IF(B227="","",ROW()-3)</f>
        <v/>
      </c>
      <c r="B227" s="12"/>
      <c r="C227" s="13"/>
      <c r="D227" s="14"/>
      <c r="E227" s="11"/>
      <c r="F227" s="15"/>
      <c r="G227" s="14"/>
      <c r="H227" s="15"/>
      <c r="I227" s="15"/>
      <c r="J227" s="16"/>
      <c r="K227" s="12"/>
      <c r="L227" s="12"/>
      <c r="M227" s="16"/>
      <c r="N227" s="12"/>
      <c r="O227" s="17"/>
      <c r="P227" s="16"/>
      <c r="Q227" s="12"/>
      <c r="R227" s="15"/>
      <c r="S227" s="16" t="str">
        <f aca="false">IF(B227="","",IF(M227="Desestimada","Cerrado - desestimada",IF(AND(M227="Aplicada",OR(P227="Pagada",P227="Incluida en expensas")),"Cerrado - multa cobrada",IF(M227="Aplicada","Multa aplicada - impaga",IF(L227&lt;&gt;"","Descargo respondido - a resolver",IF(J227="Sí","Esperando respuesta descargo","Pendiente enviar descargo"))))))</f>
        <v/>
      </c>
      <c r="T227" s="18" t="str">
        <f aca="true">IF(B227="","",TODAY()-B227)</f>
        <v/>
      </c>
    </row>
    <row r="228" customFormat="false" ht="15" hidden="false" customHeight="false" outlineLevel="0" collapsed="false">
      <c r="A228" s="11" t="str">
        <f aca="false">IF(B228="","",ROW()-3)</f>
        <v/>
      </c>
      <c r="B228" s="12"/>
      <c r="C228" s="13"/>
      <c r="D228" s="14"/>
      <c r="E228" s="11"/>
      <c r="F228" s="15"/>
      <c r="G228" s="14"/>
      <c r="H228" s="15"/>
      <c r="I228" s="15"/>
      <c r="J228" s="16"/>
      <c r="K228" s="12"/>
      <c r="L228" s="12"/>
      <c r="M228" s="16"/>
      <c r="N228" s="12"/>
      <c r="O228" s="17"/>
      <c r="P228" s="16"/>
      <c r="Q228" s="12"/>
      <c r="R228" s="15"/>
      <c r="S228" s="16" t="str">
        <f aca="false">IF(B228="","",IF(M228="Desestimada","Cerrado - desestimada",IF(AND(M228="Aplicada",OR(P228="Pagada",P228="Incluida en expensas")),"Cerrado - multa cobrada",IF(M228="Aplicada","Multa aplicada - impaga",IF(L228&lt;&gt;"","Descargo respondido - a resolver",IF(J228="Sí","Esperando respuesta descargo","Pendiente enviar descargo"))))))</f>
        <v/>
      </c>
      <c r="T228" s="18" t="str">
        <f aca="true">IF(B228="","",TODAY()-B228)</f>
        <v/>
      </c>
    </row>
    <row r="229" customFormat="false" ht="15" hidden="false" customHeight="false" outlineLevel="0" collapsed="false">
      <c r="A229" s="11" t="str">
        <f aca="false">IF(B229="","",ROW()-3)</f>
        <v/>
      </c>
      <c r="B229" s="12"/>
      <c r="C229" s="13"/>
      <c r="D229" s="14"/>
      <c r="E229" s="11"/>
      <c r="F229" s="15"/>
      <c r="G229" s="14"/>
      <c r="H229" s="15"/>
      <c r="I229" s="15"/>
      <c r="J229" s="16"/>
      <c r="K229" s="12"/>
      <c r="L229" s="12"/>
      <c r="M229" s="16"/>
      <c r="N229" s="12"/>
      <c r="O229" s="17"/>
      <c r="P229" s="16"/>
      <c r="Q229" s="12"/>
      <c r="R229" s="15"/>
      <c r="S229" s="16" t="str">
        <f aca="false">IF(B229="","",IF(M229="Desestimada","Cerrado - desestimada",IF(AND(M229="Aplicada",OR(P229="Pagada",P229="Incluida en expensas")),"Cerrado - multa cobrada",IF(M229="Aplicada","Multa aplicada - impaga",IF(L229&lt;&gt;"","Descargo respondido - a resolver",IF(J229="Sí","Esperando respuesta descargo","Pendiente enviar descargo"))))))</f>
        <v/>
      </c>
      <c r="T229" s="18" t="str">
        <f aca="true">IF(B229="","",TODAY()-B229)</f>
        <v/>
      </c>
    </row>
    <row r="230" customFormat="false" ht="15" hidden="false" customHeight="false" outlineLevel="0" collapsed="false">
      <c r="A230" s="11" t="str">
        <f aca="false">IF(B230="","",ROW()-3)</f>
        <v/>
      </c>
      <c r="B230" s="12"/>
      <c r="C230" s="13"/>
      <c r="D230" s="14"/>
      <c r="E230" s="11"/>
      <c r="F230" s="15"/>
      <c r="G230" s="14"/>
      <c r="H230" s="15"/>
      <c r="I230" s="15"/>
      <c r="J230" s="16"/>
      <c r="K230" s="12"/>
      <c r="L230" s="12"/>
      <c r="M230" s="16"/>
      <c r="N230" s="12"/>
      <c r="O230" s="17"/>
      <c r="P230" s="16"/>
      <c r="Q230" s="12"/>
      <c r="R230" s="15"/>
      <c r="S230" s="16" t="str">
        <f aca="false">IF(B230="","",IF(M230="Desestimada","Cerrado - desestimada",IF(AND(M230="Aplicada",OR(P230="Pagada",P230="Incluida en expensas")),"Cerrado - multa cobrada",IF(M230="Aplicada","Multa aplicada - impaga",IF(L230&lt;&gt;"","Descargo respondido - a resolver",IF(J230="Sí","Esperando respuesta descargo","Pendiente enviar descargo"))))))</f>
        <v/>
      </c>
      <c r="T230" s="18" t="str">
        <f aca="true">IF(B230="","",TODAY()-B230)</f>
        <v/>
      </c>
    </row>
    <row r="231" customFormat="false" ht="15" hidden="false" customHeight="false" outlineLevel="0" collapsed="false">
      <c r="A231" s="11" t="str">
        <f aca="false">IF(B231="","",ROW()-3)</f>
        <v/>
      </c>
      <c r="B231" s="12"/>
      <c r="C231" s="13"/>
      <c r="D231" s="14"/>
      <c r="E231" s="11"/>
      <c r="F231" s="15"/>
      <c r="G231" s="14"/>
      <c r="H231" s="15"/>
      <c r="I231" s="15"/>
      <c r="J231" s="16"/>
      <c r="K231" s="12"/>
      <c r="L231" s="12"/>
      <c r="M231" s="16"/>
      <c r="N231" s="12"/>
      <c r="O231" s="17"/>
      <c r="P231" s="16"/>
      <c r="Q231" s="12"/>
      <c r="R231" s="15"/>
      <c r="S231" s="16" t="str">
        <f aca="false">IF(B231="","",IF(M231="Desestimada","Cerrado - desestimada",IF(AND(M231="Aplicada",OR(P231="Pagada",P231="Incluida en expensas")),"Cerrado - multa cobrada",IF(M231="Aplicada","Multa aplicada - impaga",IF(L231&lt;&gt;"","Descargo respondido - a resolver",IF(J231="Sí","Esperando respuesta descargo","Pendiente enviar descargo"))))))</f>
        <v/>
      </c>
      <c r="T231" s="18" t="str">
        <f aca="true">IF(B231="","",TODAY()-B231)</f>
        <v/>
      </c>
    </row>
    <row r="232" customFormat="false" ht="15" hidden="false" customHeight="false" outlineLevel="0" collapsed="false">
      <c r="A232" s="11" t="str">
        <f aca="false">IF(B232="","",ROW()-3)</f>
        <v/>
      </c>
      <c r="B232" s="12"/>
      <c r="C232" s="13"/>
      <c r="D232" s="14"/>
      <c r="E232" s="11"/>
      <c r="F232" s="15"/>
      <c r="G232" s="14"/>
      <c r="H232" s="15"/>
      <c r="I232" s="15"/>
      <c r="J232" s="16"/>
      <c r="K232" s="12"/>
      <c r="L232" s="12"/>
      <c r="M232" s="16"/>
      <c r="N232" s="12"/>
      <c r="O232" s="17"/>
      <c r="P232" s="16"/>
      <c r="Q232" s="12"/>
      <c r="R232" s="15"/>
      <c r="S232" s="16" t="str">
        <f aca="false">IF(B232="","",IF(M232="Desestimada","Cerrado - desestimada",IF(AND(M232="Aplicada",OR(P232="Pagada",P232="Incluida en expensas")),"Cerrado - multa cobrada",IF(M232="Aplicada","Multa aplicada - impaga",IF(L232&lt;&gt;"","Descargo respondido - a resolver",IF(J232="Sí","Esperando respuesta descargo","Pendiente enviar descargo"))))))</f>
        <v/>
      </c>
      <c r="T232" s="18" t="str">
        <f aca="true">IF(B232="","",TODAY()-B232)</f>
        <v/>
      </c>
    </row>
    <row r="233" customFormat="false" ht="15" hidden="false" customHeight="false" outlineLevel="0" collapsed="false">
      <c r="A233" s="11" t="str">
        <f aca="false">IF(B233="","",ROW()-3)</f>
        <v/>
      </c>
      <c r="B233" s="12"/>
      <c r="C233" s="13"/>
      <c r="D233" s="14"/>
      <c r="E233" s="11"/>
      <c r="F233" s="15"/>
      <c r="G233" s="14"/>
      <c r="H233" s="15"/>
      <c r="I233" s="15"/>
      <c r="J233" s="16"/>
      <c r="K233" s="12"/>
      <c r="L233" s="12"/>
      <c r="M233" s="16"/>
      <c r="N233" s="12"/>
      <c r="O233" s="17"/>
      <c r="P233" s="16"/>
      <c r="Q233" s="12"/>
      <c r="R233" s="15"/>
      <c r="S233" s="16" t="str">
        <f aca="false">IF(B233="","",IF(M233="Desestimada","Cerrado - desestimada",IF(AND(M233="Aplicada",OR(P233="Pagada",P233="Incluida en expensas")),"Cerrado - multa cobrada",IF(M233="Aplicada","Multa aplicada - impaga",IF(L233&lt;&gt;"","Descargo respondido - a resolver",IF(J233="Sí","Esperando respuesta descargo","Pendiente enviar descargo"))))))</f>
        <v/>
      </c>
      <c r="T233" s="18" t="str">
        <f aca="true">IF(B233="","",TODAY()-B233)</f>
        <v/>
      </c>
    </row>
    <row r="234" customFormat="false" ht="15" hidden="false" customHeight="false" outlineLevel="0" collapsed="false">
      <c r="A234" s="11" t="str">
        <f aca="false">IF(B234="","",ROW()-3)</f>
        <v/>
      </c>
      <c r="B234" s="12"/>
      <c r="C234" s="13"/>
      <c r="D234" s="14"/>
      <c r="E234" s="11"/>
      <c r="F234" s="15"/>
      <c r="G234" s="14"/>
      <c r="H234" s="15"/>
      <c r="I234" s="15"/>
      <c r="J234" s="16"/>
      <c r="K234" s="12"/>
      <c r="L234" s="12"/>
      <c r="M234" s="16"/>
      <c r="N234" s="12"/>
      <c r="O234" s="17"/>
      <c r="P234" s="16"/>
      <c r="Q234" s="12"/>
      <c r="R234" s="15"/>
      <c r="S234" s="16" t="str">
        <f aca="false">IF(B234="","",IF(M234="Desestimada","Cerrado - desestimada",IF(AND(M234="Aplicada",OR(P234="Pagada",P234="Incluida en expensas")),"Cerrado - multa cobrada",IF(M234="Aplicada","Multa aplicada - impaga",IF(L234&lt;&gt;"","Descargo respondido - a resolver",IF(J234="Sí","Esperando respuesta descargo","Pendiente enviar descargo"))))))</f>
        <v/>
      </c>
      <c r="T234" s="18" t="str">
        <f aca="true">IF(B234="","",TODAY()-B234)</f>
        <v/>
      </c>
    </row>
    <row r="235" customFormat="false" ht="15" hidden="false" customHeight="false" outlineLevel="0" collapsed="false">
      <c r="A235" s="11" t="str">
        <f aca="false">IF(B235="","",ROW()-3)</f>
        <v/>
      </c>
      <c r="B235" s="12"/>
      <c r="C235" s="13"/>
      <c r="D235" s="14"/>
      <c r="E235" s="11"/>
      <c r="F235" s="15"/>
      <c r="G235" s="14"/>
      <c r="H235" s="15"/>
      <c r="I235" s="15"/>
      <c r="J235" s="16"/>
      <c r="K235" s="12"/>
      <c r="L235" s="12"/>
      <c r="M235" s="16"/>
      <c r="N235" s="12"/>
      <c r="O235" s="17"/>
      <c r="P235" s="16"/>
      <c r="Q235" s="12"/>
      <c r="R235" s="15"/>
      <c r="S235" s="16" t="str">
        <f aca="false">IF(B235="","",IF(M235="Desestimada","Cerrado - desestimada",IF(AND(M235="Aplicada",OR(P235="Pagada",P235="Incluida en expensas")),"Cerrado - multa cobrada",IF(M235="Aplicada","Multa aplicada - impaga",IF(L235&lt;&gt;"","Descargo respondido - a resolver",IF(J235="Sí","Esperando respuesta descargo","Pendiente enviar descargo"))))))</f>
        <v/>
      </c>
      <c r="T235" s="18" t="str">
        <f aca="true">IF(B235="","",TODAY()-B235)</f>
        <v/>
      </c>
    </row>
    <row r="236" customFormat="false" ht="15" hidden="false" customHeight="false" outlineLevel="0" collapsed="false">
      <c r="A236" s="11" t="str">
        <f aca="false">IF(B236="","",ROW()-3)</f>
        <v/>
      </c>
      <c r="B236" s="12"/>
      <c r="C236" s="13"/>
      <c r="D236" s="14"/>
      <c r="E236" s="11"/>
      <c r="F236" s="15"/>
      <c r="G236" s="14"/>
      <c r="H236" s="15"/>
      <c r="I236" s="15"/>
      <c r="J236" s="16"/>
      <c r="K236" s="12"/>
      <c r="L236" s="12"/>
      <c r="M236" s="16"/>
      <c r="N236" s="12"/>
      <c r="O236" s="17"/>
      <c r="P236" s="16"/>
      <c r="Q236" s="12"/>
      <c r="R236" s="15"/>
      <c r="S236" s="16" t="str">
        <f aca="false">IF(B236="","",IF(M236="Desestimada","Cerrado - desestimada",IF(AND(M236="Aplicada",OR(P236="Pagada",P236="Incluida en expensas")),"Cerrado - multa cobrada",IF(M236="Aplicada","Multa aplicada - impaga",IF(L236&lt;&gt;"","Descargo respondido - a resolver",IF(J236="Sí","Esperando respuesta descargo","Pendiente enviar descargo"))))))</f>
        <v/>
      </c>
      <c r="T236" s="18" t="str">
        <f aca="true">IF(B236="","",TODAY()-B236)</f>
        <v/>
      </c>
    </row>
    <row r="237" customFormat="false" ht="15" hidden="false" customHeight="false" outlineLevel="0" collapsed="false">
      <c r="A237" s="11" t="str">
        <f aca="false">IF(B237="","",ROW()-3)</f>
        <v/>
      </c>
      <c r="B237" s="12"/>
      <c r="C237" s="13"/>
      <c r="D237" s="14"/>
      <c r="E237" s="11"/>
      <c r="F237" s="15"/>
      <c r="G237" s="14"/>
      <c r="H237" s="15"/>
      <c r="I237" s="15"/>
      <c r="J237" s="16"/>
      <c r="K237" s="12"/>
      <c r="L237" s="12"/>
      <c r="M237" s="16"/>
      <c r="N237" s="12"/>
      <c r="O237" s="17"/>
      <c r="P237" s="16"/>
      <c r="Q237" s="12"/>
      <c r="R237" s="15"/>
      <c r="S237" s="16" t="str">
        <f aca="false">IF(B237="","",IF(M237="Desestimada","Cerrado - desestimada",IF(AND(M237="Aplicada",OR(P237="Pagada",P237="Incluida en expensas")),"Cerrado - multa cobrada",IF(M237="Aplicada","Multa aplicada - impaga",IF(L237&lt;&gt;"","Descargo respondido - a resolver",IF(J237="Sí","Esperando respuesta descargo","Pendiente enviar descargo"))))))</f>
        <v/>
      </c>
      <c r="T237" s="18" t="str">
        <f aca="true">IF(B237="","",TODAY()-B237)</f>
        <v/>
      </c>
    </row>
    <row r="238" customFormat="false" ht="15" hidden="false" customHeight="false" outlineLevel="0" collapsed="false">
      <c r="A238" s="11" t="str">
        <f aca="false">IF(B238="","",ROW()-3)</f>
        <v/>
      </c>
      <c r="B238" s="12"/>
      <c r="C238" s="13"/>
      <c r="D238" s="14"/>
      <c r="E238" s="11"/>
      <c r="F238" s="15"/>
      <c r="G238" s="14"/>
      <c r="H238" s="15"/>
      <c r="I238" s="15"/>
      <c r="J238" s="16"/>
      <c r="K238" s="12"/>
      <c r="L238" s="12"/>
      <c r="M238" s="16"/>
      <c r="N238" s="12"/>
      <c r="O238" s="17"/>
      <c r="P238" s="16"/>
      <c r="Q238" s="12"/>
      <c r="R238" s="15"/>
      <c r="S238" s="16" t="str">
        <f aca="false">IF(B238="","",IF(M238="Desestimada","Cerrado - desestimada",IF(AND(M238="Aplicada",OR(P238="Pagada",P238="Incluida en expensas")),"Cerrado - multa cobrada",IF(M238="Aplicada","Multa aplicada - impaga",IF(L238&lt;&gt;"","Descargo respondido - a resolver",IF(J238="Sí","Esperando respuesta descargo","Pendiente enviar descargo"))))))</f>
        <v/>
      </c>
      <c r="T238" s="18" t="str">
        <f aca="true">IF(B238="","",TODAY()-B238)</f>
        <v/>
      </c>
    </row>
    <row r="239" customFormat="false" ht="15" hidden="false" customHeight="false" outlineLevel="0" collapsed="false">
      <c r="A239" s="11" t="str">
        <f aca="false">IF(B239="","",ROW()-3)</f>
        <v/>
      </c>
      <c r="B239" s="12"/>
      <c r="C239" s="13"/>
      <c r="D239" s="14"/>
      <c r="E239" s="11"/>
      <c r="F239" s="15"/>
      <c r="G239" s="14"/>
      <c r="H239" s="15"/>
      <c r="I239" s="15"/>
      <c r="J239" s="16"/>
      <c r="K239" s="12"/>
      <c r="L239" s="12"/>
      <c r="M239" s="16"/>
      <c r="N239" s="12"/>
      <c r="O239" s="17"/>
      <c r="P239" s="16"/>
      <c r="Q239" s="12"/>
      <c r="R239" s="15"/>
      <c r="S239" s="16" t="str">
        <f aca="false">IF(B239="","",IF(M239="Desestimada","Cerrado - desestimada",IF(AND(M239="Aplicada",OR(P239="Pagada",P239="Incluida en expensas")),"Cerrado - multa cobrada",IF(M239="Aplicada","Multa aplicada - impaga",IF(L239&lt;&gt;"","Descargo respondido - a resolver",IF(J239="Sí","Esperando respuesta descargo","Pendiente enviar descargo"))))))</f>
        <v/>
      </c>
      <c r="T239" s="18" t="str">
        <f aca="true">IF(B239="","",TODAY()-B239)</f>
        <v/>
      </c>
    </row>
    <row r="240" customFormat="false" ht="15" hidden="false" customHeight="false" outlineLevel="0" collapsed="false">
      <c r="A240" s="11" t="str">
        <f aca="false">IF(B240="","",ROW()-3)</f>
        <v/>
      </c>
      <c r="B240" s="12"/>
      <c r="C240" s="13"/>
      <c r="D240" s="14"/>
      <c r="E240" s="11"/>
      <c r="F240" s="15"/>
      <c r="G240" s="14"/>
      <c r="H240" s="15"/>
      <c r="I240" s="15"/>
      <c r="J240" s="16"/>
      <c r="K240" s="12"/>
      <c r="L240" s="12"/>
      <c r="M240" s="16"/>
      <c r="N240" s="12"/>
      <c r="O240" s="17"/>
      <c r="P240" s="16"/>
      <c r="Q240" s="12"/>
      <c r="R240" s="15"/>
      <c r="S240" s="16" t="str">
        <f aca="false">IF(B240="","",IF(M240="Desestimada","Cerrado - desestimada",IF(AND(M240="Aplicada",OR(P240="Pagada",P240="Incluida en expensas")),"Cerrado - multa cobrada",IF(M240="Aplicada","Multa aplicada - impaga",IF(L240&lt;&gt;"","Descargo respondido - a resolver",IF(J240="Sí","Esperando respuesta descargo","Pendiente enviar descargo"))))))</f>
        <v/>
      </c>
      <c r="T240" s="18" t="str">
        <f aca="true">IF(B240="","",TODAY()-B240)</f>
        <v/>
      </c>
    </row>
    <row r="241" customFormat="false" ht="15" hidden="false" customHeight="false" outlineLevel="0" collapsed="false">
      <c r="A241" s="11" t="str">
        <f aca="false">IF(B241="","",ROW()-3)</f>
        <v/>
      </c>
      <c r="B241" s="12"/>
      <c r="C241" s="13"/>
      <c r="D241" s="14"/>
      <c r="E241" s="11"/>
      <c r="F241" s="15"/>
      <c r="G241" s="14"/>
      <c r="H241" s="15"/>
      <c r="I241" s="15"/>
      <c r="J241" s="16"/>
      <c r="K241" s="12"/>
      <c r="L241" s="12"/>
      <c r="M241" s="16"/>
      <c r="N241" s="12"/>
      <c r="O241" s="17"/>
      <c r="P241" s="16"/>
      <c r="Q241" s="12"/>
      <c r="R241" s="15"/>
      <c r="S241" s="16" t="str">
        <f aca="false">IF(B241="","",IF(M241="Desestimada","Cerrado - desestimada",IF(AND(M241="Aplicada",OR(P241="Pagada",P241="Incluida en expensas")),"Cerrado - multa cobrada",IF(M241="Aplicada","Multa aplicada - impaga",IF(L241&lt;&gt;"","Descargo respondido - a resolver",IF(J241="Sí","Esperando respuesta descargo","Pendiente enviar descargo"))))))</f>
        <v/>
      </c>
      <c r="T241" s="18" t="str">
        <f aca="true">IF(B241="","",TODAY()-B241)</f>
        <v/>
      </c>
    </row>
    <row r="242" customFormat="false" ht="15" hidden="false" customHeight="false" outlineLevel="0" collapsed="false">
      <c r="A242" s="11" t="str">
        <f aca="false">IF(B242="","",ROW()-3)</f>
        <v/>
      </c>
      <c r="B242" s="12"/>
      <c r="C242" s="13"/>
      <c r="D242" s="14"/>
      <c r="E242" s="11"/>
      <c r="F242" s="15"/>
      <c r="G242" s="14"/>
      <c r="H242" s="15"/>
      <c r="I242" s="15"/>
      <c r="J242" s="16"/>
      <c r="K242" s="12"/>
      <c r="L242" s="12"/>
      <c r="M242" s="16"/>
      <c r="N242" s="12"/>
      <c r="O242" s="17"/>
      <c r="P242" s="16"/>
      <c r="Q242" s="12"/>
      <c r="R242" s="15"/>
      <c r="S242" s="16" t="str">
        <f aca="false">IF(B242="","",IF(M242="Desestimada","Cerrado - desestimada",IF(AND(M242="Aplicada",OR(P242="Pagada",P242="Incluida en expensas")),"Cerrado - multa cobrada",IF(M242="Aplicada","Multa aplicada - impaga",IF(L242&lt;&gt;"","Descargo respondido - a resolver",IF(J242="Sí","Esperando respuesta descargo","Pendiente enviar descargo"))))))</f>
        <v/>
      </c>
      <c r="T242" s="18" t="str">
        <f aca="true">IF(B242="","",TODAY()-B242)</f>
        <v/>
      </c>
    </row>
    <row r="243" customFormat="false" ht="15" hidden="false" customHeight="false" outlineLevel="0" collapsed="false">
      <c r="A243" s="11" t="str">
        <f aca="false">IF(B243="","",ROW()-3)</f>
        <v/>
      </c>
      <c r="B243" s="12"/>
      <c r="C243" s="13"/>
      <c r="D243" s="14"/>
      <c r="E243" s="11"/>
      <c r="F243" s="15"/>
      <c r="G243" s="14"/>
      <c r="H243" s="15"/>
      <c r="I243" s="15"/>
      <c r="J243" s="16"/>
      <c r="K243" s="12"/>
      <c r="L243" s="12"/>
      <c r="M243" s="16"/>
      <c r="N243" s="12"/>
      <c r="O243" s="17"/>
      <c r="P243" s="16"/>
      <c r="Q243" s="12"/>
      <c r="R243" s="15"/>
      <c r="S243" s="16" t="str">
        <f aca="false">IF(B243="","",IF(M243="Desestimada","Cerrado - desestimada",IF(AND(M243="Aplicada",OR(P243="Pagada",P243="Incluida en expensas")),"Cerrado - multa cobrada",IF(M243="Aplicada","Multa aplicada - impaga",IF(L243&lt;&gt;"","Descargo respondido - a resolver",IF(J243="Sí","Esperando respuesta descargo","Pendiente enviar descargo"))))))</f>
        <v/>
      </c>
      <c r="T243" s="18" t="str">
        <f aca="true">IF(B243="","",TODAY()-B243)</f>
        <v/>
      </c>
    </row>
    <row r="244" customFormat="false" ht="15" hidden="false" customHeight="false" outlineLevel="0" collapsed="false">
      <c r="A244" s="11" t="str">
        <f aca="false">IF(B244="","",ROW()-3)</f>
        <v/>
      </c>
      <c r="B244" s="12"/>
      <c r="C244" s="13"/>
      <c r="D244" s="14"/>
      <c r="E244" s="11"/>
      <c r="F244" s="15"/>
      <c r="G244" s="14"/>
      <c r="H244" s="15"/>
      <c r="I244" s="15"/>
      <c r="J244" s="16"/>
      <c r="K244" s="12"/>
      <c r="L244" s="12"/>
      <c r="M244" s="16"/>
      <c r="N244" s="12"/>
      <c r="O244" s="17"/>
      <c r="P244" s="16"/>
      <c r="Q244" s="12"/>
      <c r="R244" s="15"/>
      <c r="S244" s="16" t="str">
        <f aca="false">IF(B244="","",IF(M244="Desestimada","Cerrado - desestimada",IF(AND(M244="Aplicada",OR(P244="Pagada",P244="Incluida en expensas")),"Cerrado - multa cobrada",IF(M244="Aplicada","Multa aplicada - impaga",IF(L244&lt;&gt;"","Descargo respondido - a resolver",IF(J244="Sí","Esperando respuesta descargo","Pendiente enviar descargo"))))))</f>
        <v/>
      </c>
      <c r="T244" s="18" t="str">
        <f aca="true">IF(B244="","",TODAY()-B244)</f>
        <v/>
      </c>
    </row>
    <row r="245" customFormat="false" ht="15" hidden="false" customHeight="false" outlineLevel="0" collapsed="false">
      <c r="A245" s="11" t="str">
        <f aca="false">IF(B245="","",ROW()-3)</f>
        <v/>
      </c>
      <c r="B245" s="12"/>
      <c r="C245" s="13"/>
      <c r="D245" s="14"/>
      <c r="E245" s="11"/>
      <c r="F245" s="15"/>
      <c r="G245" s="14"/>
      <c r="H245" s="15"/>
      <c r="I245" s="15"/>
      <c r="J245" s="16"/>
      <c r="K245" s="12"/>
      <c r="L245" s="12"/>
      <c r="M245" s="16"/>
      <c r="N245" s="12"/>
      <c r="O245" s="17"/>
      <c r="P245" s="16"/>
      <c r="Q245" s="12"/>
      <c r="R245" s="15"/>
      <c r="S245" s="16" t="str">
        <f aca="false">IF(B245="","",IF(M245="Desestimada","Cerrado - desestimada",IF(AND(M245="Aplicada",OR(P245="Pagada",P245="Incluida en expensas")),"Cerrado - multa cobrada",IF(M245="Aplicada","Multa aplicada - impaga",IF(L245&lt;&gt;"","Descargo respondido - a resolver",IF(J245="Sí","Esperando respuesta descargo","Pendiente enviar descargo"))))))</f>
        <v/>
      </c>
      <c r="T245" s="18" t="str">
        <f aca="true">IF(B245="","",TODAY()-B245)</f>
        <v/>
      </c>
    </row>
    <row r="246" customFormat="false" ht="15" hidden="false" customHeight="false" outlineLevel="0" collapsed="false">
      <c r="A246" s="11" t="str">
        <f aca="false">IF(B246="","",ROW()-3)</f>
        <v/>
      </c>
      <c r="B246" s="12"/>
      <c r="C246" s="13"/>
      <c r="D246" s="14"/>
      <c r="E246" s="11"/>
      <c r="F246" s="15"/>
      <c r="G246" s="14"/>
      <c r="H246" s="15"/>
      <c r="I246" s="15"/>
      <c r="J246" s="16"/>
      <c r="K246" s="12"/>
      <c r="L246" s="12"/>
      <c r="M246" s="16"/>
      <c r="N246" s="12"/>
      <c r="O246" s="17"/>
      <c r="P246" s="16"/>
      <c r="Q246" s="12"/>
      <c r="R246" s="15"/>
      <c r="S246" s="16" t="str">
        <f aca="false">IF(B246="","",IF(M246="Desestimada","Cerrado - desestimada",IF(AND(M246="Aplicada",OR(P246="Pagada",P246="Incluida en expensas")),"Cerrado - multa cobrada",IF(M246="Aplicada","Multa aplicada - impaga",IF(L246&lt;&gt;"","Descargo respondido - a resolver",IF(J246="Sí","Esperando respuesta descargo","Pendiente enviar descargo"))))))</f>
        <v/>
      </c>
      <c r="T246" s="18" t="str">
        <f aca="true">IF(B246="","",TODAY()-B246)</f>
        <v/>
      </c>
    </row>
    <row r="247" customFormat="false" ht="15" hidden="false" customHeight="false" outlineLevel="0" collapsed="false">
      <c r="A247" s="11" t="str">
        <f aca="false">IF(B247="","",ROW()-3)</f>
        <v/>
      </c>
      <c r="B247" s="12"/>
      <c r="C247" s="13"/>
      <c r="D247" s="14"/>
      <c r="E247" s="11"/>
      <c r="F247" s="15"/>
      <c r="G247" s="14"/>
      <c r="H247" s="15"/>
      <c r="I247" s="15"/>
      <c r="J247" s="16"/>
      <c r="K247" s="12"/>
      <c r="L247" s="12"/>
      <c r="M247" s="16"/>
      <c r="N247" s="12"/>
      <c r="O247" s="17"/>
      <c r="P247" s="16"/>
      <c r="Q247" s="12"/>
      <c r="R247" s="15"/>
      <c r="S247" s="16" t="str">
        <f aca="false">IF(B247="","",IF(M247="Desestimada","Cerrado - desestimada",IF(AND(M247="Aplicada",OR(P247="Pagada",P247="Incluida en expensas")),"Cerrado - multa cobrada",IF(M247="Aplicada","Multa aplicada - impaga",IF(L247&lt;&gt;"","Descargo respondido - a resolver",IF(J247="Sí","Esperando respuesta descargo","Pendiente enviar descargo"))))))</f>
        <v/>
      </c>
      <c r="T247" s="18" t="str">
        <f aca="true">IF(B247="","",TODAY()-B247)</f>
        <v/>
      </c>
    </row>
    <row r="248" customFormat="false" ht="15" hidden="false" customHeight="false" outlineLevel="0" collapsed="false">
      <c r="A248" s="11" t="str">
        <f aca="false">IF(B248="","",ROW()-3)</f>
        <v/>
      </c>
      <c r="B248" s="12"/>
      <c r="C248" s="13"/>
      <c r="D248" s="14"/>
      <c r="E248" s="11"/>
      <c r="F248" s="15"/>
      <c r="G248" s="14"/>
      <c r="H248" s="15"/>
      <c r="I248" s="15"/>
      <c r="J248" s="16"/>
      <c r="K248" s="12"/>
      <c r="L248" s="12"/>
      <c r="M248" s="16"/>
      <c r="N248" s="12"/>
      <c r="O248" s="17"/>
      <c r="P248" s="16"/>
      <c r="Q248" s="12"/>
      <c r="R248" s="15"/>
      <c r="S248" s="16" t="str">
        <f aca="false">IF(B248="","",IF(M248="Desestimada","Cerrado - desestimada",IF(AND(M248="Aplicada",OR(P248="Pagada",P248="Incluida en expensas")),"Cerrado - multa cobrada",IF(M248="Aplicada","Multa aplicada - impaga",IF(L248&lt;&gt;"","Descargo respondido - a resolver",IF(J248="Sí","Esperando respuesta descargo","Pendiente enviar descargo"))))))</f>
        <v/>
      </c>
      <c r="T248" s="18" t="str">
        <f aca="true">IF(B248="","",TODAY()-B248)</f>
        <v/>
      </c>
    </row>
    <row r="249" customFormat="false" ht="15" hidden="false" customHeight="false" outlineLevel="0" collapsed="false">
      <c r="A249" s="11" t="str">
        <f aca="false">IF(B249="","",ROW()-3)</f>
        <v/>
      </c>
      <c r="B249" s="12"/>
      <c r="C249" s="13"/>
      <c r="D249" s="14"/>
      <c r="E249" s="11"/>
      <c r="F249" s="15"/>
      <c r="G249" s="14"/>
      <c r="H249" s="15"/>
      <c r="I249" s="15"/>
      <c r="J249" s="16"/>
      <c r="K249" s="12"/>
      <c r="L249" s="12"/>
      <c r="M249" s="16"/>
      <c r="N249" s="12"/>
      <c r="O249" s="17"/>
      <c r="P249" s="16"/>
      <c r="Q249" s="12"/>
      <c r="R249" s="15"/>
      <c r="S249" s="16" t="str">
        <f aca="false">IF(B249="","",IF(M249="Desestimada","Cerrado - desestimada",IF(AND(M249="Aplicada",OR(P249="Pagada",P249="Incluida en expensas")),"Cerrado - multa cobrada",IF(M249="Aplicada","Multa aplicada - impaga",IF(L249&lt;&gt;"","Descargo respondido - a resolver",IF(J249="Sí","Esperando respuesta descargo","Pendiente enviar descargo"))))))</f>
        <v/>
      </c>
      <c r="T249" s="18" t="str">
        <f aca="true">IF(B249="","",TODAY()-B249)</f>
        <v/>
      </c>
    </row>
    <row r="250" customFormat="false" ht="15" hidden="false" customHeight="false" outlineLevel="0" collapsed="false">
      <c r="A250" s="11" t="str">
        <f aca="false">IF(B250="","",ROW()-3)</f>
        <v/>
      </c>
      <c r="B250" s="12"/>
      <c r="C250" s="13"/>
      <c r="D250" s="14"/>
      <c r="E250" s="11"/>
      <c r="F250" s="15"/>
      <c r="G250" s="14"/>
      <c r="H250" s="15"/>
      <c r="I250" s="15"/>
      <c r="J250" s="16"/>
      <c r="K250" s="12"/>
      <c r="L250" s="12"/>
      <c r="M250" s="16"/>
      <c r="N250" s="12"/>
      <c r="O250" s="17"/>
      <c r="P250" s="16"/>
      <c r="Q250" s="12"/>
      <c r="R250" s="15"/>
      <c r="S250" s="16" t="str">
        <f aca="false">IF(B250="","",IF(M250="Desestimada","Cerrado - desestimada",IF(AND(M250="Aplicada",OR(P250="Pagada",P250="Incluida en expensas")),"Cerrado - multa cobrada",IF(M250="Aplicada","Multa aplicada - impaga",IF(L250&lt;&gt;"","Descargo respondido - a resolver",IF(J250="Sí","Esperando respuesta descargo","Pendiente enviar descargo"))))))</f>
        <v/>
      </c>
      <c r="T250" s="18" t="str">
        <f aca="true">IF(B250="","",TODAY()-B250)</f>
        <v/>
      </c>
    </row>
    <row r="251" customFormat="false" ht="15" hidden="false" customHeight="false" outlineLevel="0" collapsed="false">
      <c r="A251" s="11" t="str">
        <f aca="false">IF(B251="","",ROW()-3)</f>
        <v/>
      </c>
      <c r="B251" s="12"/>
      <c r="C251" s="13"/>
      <c r="D251" s="14"/>
      <c r="E251" s="11"/>
      <c r="F251" s="15"/>
      <c r="G251" s="14"/>
      <c r="H251" s="15"/>
      <c r="I251" s="15"/>
      <c r="J251" s="16"/>
      <c r="K251" s="12"/>
      <c r="L251" s="12"/>
      <c r="M251" s="16"/>
      <c r="N251" s="12"/>
      <c r="O251" s="17"/>
      <c r="P251" s="16"/>
      <c r="Q251" s="12"/>
      <c r="R251" s="15"/>
      <c r="S251" s="16" t="str">
        <f aca="false">IF(B251="","",IF(M251="Desestimada","Cerrado - desestimada",IF(AND(M251="Aplicada",OR(P251="Pagada",P251="Incluida en expensas")),"Cerrado - multa cobrada",IF(M251="Aplicada","Multa aplicada - impaga",IF(L251&lt;&gt;"","Descargo respondido - a resolver",IF(J251="Sí","Esperando respuesta descargo","Pendiente enviar descargo"))))))</f>
        <v/>
      </c>
      <c r="T251" s="18" t="str">
        <f aca="true">IF(B251="","",TODAY()-B251)</f>
        <v/>
      </c>
    </row>
    <row r="252" customFormat="false" ht="15" hidden="false" customHeight="false" outlineLevel="0" collapsed="false">
      <c r="A252" s="11" t="str">
        <f aca="false">IF(B252="","",ROW()-3)</f>
        <v/>
      </c>
      <c r="B252" s="12"/>
      <c r="C252" s="13"/>
      <c r="D252" s="14"/>
      <c r="E252" s="11"/>
      <c r="F252" s="15"/>
      <c r="G252" s="14"/>
      <c r="H252" s="15"/>
      <c r="I252" s="15"/>
      <c r="J252" s="16"/>
      <c r="K252" s="12"/>
      <c r="L252" s="12"/>
      <c r="M252" s="16"/>
      <c r="N252" s="12"/>
      <c r="O252" s="17"/>
      <c r="P252" s="16"/>
      <c r="Q252" s="12"/>
      <c r="R252" s="15"/>
      <c r="S252" s="16" t="str">
        <f aca="false">IF(B252="","",IF(M252="Desestimada","Cerrado - desestimada",IF(AND(M252="Aplicada",OR(P252="Pagada",P252="Incluida en expensas")),"Cerrado - multa cobrada",IF(M252="Aplicada","Multa aplicada - impaga",IF(L252&lt;&gt;"","Descargo respondido - a resolver",IF(J252="Sí","Esperando respuesta descargo","Pendiente enviar descargo"))))))</f>
        <v/>
      </c>
      <c r="T252" s="18" t="str">
        <f aca="true">IF(B252="","",TODAY()-B252)</f>
        <v/>
      </c>
    </row>
    <row r="253" customFormat="false" ht="15" hidden="false" customHeight="false" outlineLevel="0" collapsed="false">
      <c r="A253" s="11" t="str">
        <f aca="false">IF(B253="","",ROW()-3)</f>
        <v/>
      </c>
      <c r="B253" s="12"/>
      <c r="C253" s="13"/>
      <c r="D253" s="14"/>
      <c r="E253" s="11"/>
      <c r="F253" s="15"/>
      <c r="G253" s="14"/>
      <c r="H253" s="15"/>
      <c r="I253" s="15"/>
      <c r="J253" s="16"/>
      <c r="K253" s="12"/>
      <c r="L253" s="12"/>
      <c r="M253" s="16"/>
      <c r="N253" s="12"/>
      <c r="O253" s="17"/>
      <c r="P253" s="16"/>
      <c r="Q253" s="12"/>
      <c r="R253" s="15"/>
      <c r="S253" s="16" t="str">
        <f aca="false">IF(B253="","",IF(M253="Desestimada","Cerrado - desestimada",IF(AND(M253="Aplicada",OR(P253="Pagada",P253="Incluida en expensas")),"Cerrado - multa cobrada",IF(M253="Aplicada","Multa aplicada - impaga",IF(L253&lt;&gt;"","Descargo respondido - a resolver",IF(J253="Sí","Esperando respuesta descargo","Pendiente enviar descargo"))))))</f>
        <v/>
      </c>
      <c r="T253" s="18" t="str">
        <f aca="true">IF(B253="","",TODAY()-B253)</f>
        <v/>
      </c>
    </row>
    <row r="254" customFormat="false" ht="15" hidden="false" customHeight="false" outlineLevel="0" collapsed="false">
      <c r="A254" s="11" t="str">
        <f aca="false">IF(B254="","",ROW()-3)</f>
        <v/>
      </c>
      <c r="B254" s="12"/>
      <c r="C254" s="13"/>
      <c r="D254" s="14"/>
      <c r="E254" s="11"/>
      <c r="F254" s="15"/>
      <c r="G254" s="14"/>
      <c r="H254" s="15"/>
      <c r="I254" s="15"/>
      <c r="J254" s="16"/>
      <c r="K254" s="12"/>
      <c r="L254" s="12"/>
      <c r="M254" s="16"/>
      <c r="N254" s="12"/>
      <c r="O254" s="17"/>
      <c r="P254" s="16"/>
      <c r="Q254" s="12"/>
      <c r="R254" s="15"/>
      <c r="S254" s="16" t="str">
        <f aca="false">IF(B254="","",IF(M254="Desestimada","Cerrado - desestimada",IF(AND(M254="Aplicada",OR(P254="Pagada",P254="Incluida en expensas")),"Cerrado - multa cobrada",IF(M254="Aplicada","Multa aplicada - impaga",IF(L254&lt;&gt;"","Descargo respondido - a resolver",IF(J254="Sí","Esperando respuesta descargo","Pendiente enviar descargo"))))))</f>
        <v/>
      </c>
      <c r="T254" s="18" t="str">
        <f aca="true">IF(B254="","",TODAY()-B254)</f>
        <v/>
      </c>
    </row>
    <row r="255" customFormat="false" ht="15" hidden="false" customHeight="false" outlineLevel="0" collapsed="false">
      <c r="A255" s="11" t="str">
        <f aca="false">IF(B255="","",ROW()-3)</f>
        <v/>
      </c>
      <c r="B255" s="12"/>
      <c r="C255" s="13"/>
      <c r="D255" s="14"/>
      <c r="E255" s="11"/>
      <c r="F255" s="15"/>
      <c r="G255" s="14"/>
      <c r="H255" s="15"/>
      <c r="I255" s="15"/>
      <c r="J255" s="16"/>
      <c r="K255" s="12"/>
      <c r="L255" s="12"/>
      <c r="M255" s="16"/>
      <c r="N255" s="12"/>
      <c r="O255" s="17"/>
      <c r="P255" s="16"/>
      <c r="Q255" s="12"/>
      <c r="R255" s="15"/>
      <c r="S255" s="16" t="str">
        <f aca="false">IF(B255="","",IF(M255="Desestimada","Cerrado - desestimada",IF(AND(M255="Aplicada",OR(P255="Pagada",P255="Incluida en expensas")),"Cerrado - multa cobrada",IF(M255="Aplicada","Multa aplicada - impaga",IF(L255&lt;&gt;"","Descargo respondido - a resolver",IF(J255="Sí","Esperando respuesta descargo","Pendiente enviar descargo"))))))</f>
        <v/>
      </c>
      <c r="T255" s="18" t="str">
        <f aca="true">IF(B255="","",TODAY()-B255)</f>
        <v/>
      </c>
    </row>
    <row r="256" customFormat="false" ht="15" hidden="false" customHeight="false" outlineLevel="0" collapsed="false">
      <c r="A256" s="11" t="str">
        <f aca="false">IF(B256="","",ROW()-3)</f>
        <v/>
      </c>
      <c r="B256" s="12"/>
      <c r="C256" s="13"/>
      <c r="D256" s="14"/>
      <c r="E256" s="11"/>
      <c r="F256" s="15"/>
      <c r="G256" s="14"/>
      <c r="H256" s="15"/>
      <c r="I256" s="15"/>
      <c r="J256" s="16"/>
      <c r="K256" s="12"/>
      <c r="L256" s="12"/>
      <c r="M256" s="16"/>
      <c r="N256" s="12"/>
      <c r="O256" s="17"/>
      <c r="P256" s="16"/>
      <c r="Q256" s="12"/>
      <c r="R256" s="15"/>
      <c r="S256" s="16" t="str">
        <f aca="false">IF(B256="","",IF(M256="Desestimada","Cerrado - desestimada",IF(AND(M256="Aplicada",OR(P256="Pagada",P256="Incluida en expensas")),"Cerrado - multa cobrada",IF(M256="Aplicada","Multa aplicada - impaga",IF(L256&lt;&gt;"","Descargo respondido - a resolver",IF(J256="Sí","Esperando respuesta descargo","Pendiente enviar descargo"))))))</f>
        <v/>
      </c>
      <c r="T256" s="18" t="str">
        <f aca="true">IF(B256="","",TODAY()-B256)</f>
        <v/>
      </c>
    </row>
    <row r="257" customFormat="false" ht="15" hidden="false" customHeight="false" outlineLevel="0" collapsed="false">
      <c r="A257" s="11" t="str">
        <f aca="false">IF(B257="","",ROW()-3)</f>
        <v/>
      </c>
      <c r="B257" s="12"/>
      <c r="C257" s="13"/>
      <c r="D257" s="14"/>
      <c r="E257" s="11"/>
      <c r="F257" s="15"/>
      <c r="G257" s="14"/>
      <c r="H257" s="15"/>
      <c r="I257" s="15"/>
      <c r="J257" s="16"/>
      <c r="K257" s="12"/>
      <c r="L257" s="12"/>
      <c r="M257" s="16"/>
      <c r="N257" s="12"/>
      <c r="O257" s="17"/>
      <c r="P257" s="16"/>
      <c r="Q257" s="12"/>
      <c r="R257" s="15"/>
      <c r="S257" s="16" t="str">
        <f aca="false">IF(B257="","",IF(M257="Desestimada","Cerrado - desestimada",IF(AND(M257="Aplicada",OR(P257="Pagada",P257="Incluida en expensas")),"Cerrado - multa cobrada",IF(M257="Aplicada","Multa aplicada - impaga",IF(L257&lt;&gt;"","Descargo respondido - a resolver",IF(J257="Sí","Esperando respuesta descargo","Pendiente enviar descargo"))))))</f>
        <v/>
      </c>
      <c r="T257" s="18" t="str">
        <f aca="true">IF(B257="","",TODAY()-B257)</f>
        <v/>
      </c>
    </row>
    <row r="258" customFormat="false" ht="15" hidden="false" customHeight="false" outlineLevel="0" collapsed="false">
      <c r="A258" s="11" t="str">
        <f aca="false">IF(B258="","",ROW()-3)</f>
        <v/>
      </c>
      <c r="B258" s="12"/>
      <c r="C258" s="13"/>
      <c r="D258" s="14"/>
      <c r="E258" s="11"/>
      <c r="F258" s="15"/>
      <c r="G258" s="14"/>
      <c r="H258" s="15"/>
      <c r="I258" s="15"/>
      <c r="J258" s="16"/>
      <c r="K258" s="12"/>
      <c r="L258" s="12"/>
      <c r="M258" s="16"/>
      <c r="N258" s="12"/>
      <c r="O258" s="17"/>
      <c r="P258" s="16"/>
      <c r="Q258" s="12"/>
      <c r="R258" s="15"/>
      <c r="S258" s="16" t="str">
        <f aca="false">IF(B258="","",IF(M258="Desestimada","Cerrado - desestimada",IF(AND(M258="Aplicada",OR(P258="Pagada",P258="Incluida en expensas")),"Cerrado - multa cobrada",IF(M258="Aplicada","Multa aplicada - impaga",IF(L258&lt;&gt;"","Descargo respondido - a resolver",IF(J258="Sí","Esperando respuesta descargo","Pendiente enviar descargo"))))))</f>
        <v/>
      </c>
      <c r="T258" s="18" t="str">
        <f aca="true">IF(B258="","",TODAY()-B258)</f>
        <v/>
      </c>
    </row>
    <row r="259" customFormat="false" ht="15" hidden="false" customHeight="false" outlineLevel="0" collapsed="false">
      <c r="A259" s="11" t="str">
        <f aca="false">IF(B259="","",ROW()-3)</f>
        <v/>
      </c>
      <c r="B259" s="12"/>
      <c r="C259" s="13"/>
      <c r="D259" s="14"/>
      <c r="E259" s="11"/>
      <c r="F259" s="15"/>
      <c r="G259" s="14"/>
      <c r="H259" s="15"/>
      <c r="I259" s="15"/>
      <c r="J259" s="16"/>
      <c r="K259" s="12"/>
      <c r="L259" s="12"/>
      <c r="M259" s="16"/>
      <c r="N259" s="12"/>
      <c r="O259" s="17"/>
      <c r="P259" s="16"/>
      <c r="Q259" s="12"/>
      <c r="R259" s="15"/>
      <c r="S259" s="16" t="str">
        <f aca="false">IF(B259="","",IF(M259="Desestimada","Cerrado - desestimada",IF(AND(M259="Aplicada",OR(P259="Pagada",P259="Incluida en expensas")),"Cerrado - multa cobrada",IF(M259="Aplicada","Multa aplicada - impaga",IF(L259&lt;&gt;"","Descargo respondido - a resolver",IF(J259="Sí","Esperando respuesta descargo","Pendiente enviar descargo"))))))</f>
        <v/>
      </c>
      <c r="T259" s="18" t="str">
        <f aca="true">IF(B259="","",TODAY()-B259)</f>
        <v/>
      </c>
    </row>
    <row r="260" customFormat="false" ht="15" hidden="false" customHeight="false" outlineLevel="0" collapsed="false">
      <c r="A260" s="11" t="str">
        <f aca="false">IF(B260="","",ROW()-3)</f>
        <v/>
      </c>
      <c r="B260" s="12"/>
      <c r="C260" s="13"/>
      <c r="D260" s="14"/>
      <c r="E260" s="11"/>
      <c r="F260" s="15"/>
      <c r="G260" s="14"/>
      <c r="H260" s="15"/>
      <c r="I260" s="15"/>
      <c r="J260" s="16"/>
      <c r="K260" s="12"/>
      <c r="L260" s="12"/>
      <c r="M260" s="16"/>
      <c r="N260" s="12"/>
      <c r="O260" s="17"/>
      <c r="P260" s="16"/>
      <c r="Q260" s="12"/>
      <c r="R260" s="15"/>
      <c r="S260" s="16" t="str">
        <f aca="false">IF(B260="","",IF(M260="Desestimada","Cerrado - desestimada",IF(AND(M260="Aplicada",OR(P260="Pagada",P260="Incluida en expensas")),"Cerrado - multa cobrada",IF(M260="Aplicada","Multa aplicada - impaga",IF(L260&lt;&gt;"","Descargo respondido - a resolver",IF(J260="Sí","Esperando respuesta descargo","Pendiente enviar descargo"))))))</f>
        <v/>
      </c>
      <c r="T260" s="18" t="str">
        <f aca="true">IF(B260="","",TODAY()-B260)</f>
        <v/>
      </c>
    </row>
    <row r="261" customFormat="false" ht="15" hidden="false" customHeight="false" outlineLevel="0" collapsed="false">
      <c r="A261" s="11" t="str">
        <f aca="false">IF(B261="","",ROW()-3)</f>
        <v/>
      </c>
      <c r="B261" s="12"/>
      <c r="C261" s="13"/>
      <c r="D261" s="14"/>
      <c r="E261" s="11"/>
      <c r="F261" s="15"/>
      <c r="G261" s="14"/>
      <c r="H261" s="15"/>
      <c r="I261" s="15"/>
      <c r="J261" s="16"/>
      <c r="K261" s="12"/>
      <c r="L261" s="12"/>
      <c r="M261" s="16"/>
      <c r="N261" s="12"/>
      <c r="O261" s="17"/>
      <c r="P261" s="16"/>
      <c r="Q261" s="12"/>
      <c r="R261" s="15"/>
      <c r="S261" s="16" t="str">
        <f aca="false">IF(B261="","",IF(M261="Desestimada","Cerrado - desestimada",IF(AND(M261="Aplicada",OR(P261="Pagada",P261="Incluida en expensas")),"Cerrado - multa cobrada",IF(M261="Aplicada","Multa aplicada - impaga",IF(L261&lt;&gt;"","Descargo respondido - a resolver",IF(J261="Sí","Esperando respuesta descargo","Pendiente enviar descargo"))))))</f>
        <v/>
      </c>
      <c r="T261" s="18" t="str">
        <f aca="true">IF(B261="","",TODAY()-B261)</f>
        <v/>
      </c>
    </row>
    <row r="262" customFormat="false" ht="15" hidden="false" customHeight="false" outlineLevel="0" collapsed="false">
      <c r="A262" s="11" t="str">
        <f aca="false">IF(B262="","",ROW()-3)</f>
        <v/>
      </c>
      <c r="B262" s="12"/>
      <c r="C262" s="13"/>
      <c r="D262" s="14"/>
      <c r="E262" s="11"/>
      <c r="F262" s="15"/>
      <c r="G262" s="14"/>
      <c r="H262" s="15"/>
      <c r="I262" s="15"/>
      <c r="J262" s="16"/>
      <c r="K262" s="12"/>
      <c r="L262" s="12"/>
      <c r="M262" s="16"/>
      <c r="N262" s="12"/>
      <c r="O262" s="17"/>
      <c r="P262" s="16"/>
      <c r="Q262" s="12"/>
      <c r="R262" s="15"/>
      <c r="S262" s="16" t="str">
        <f aca="false">IF(B262="","",IF(M262="Desestimada","Cerrado - desestimada",IF(AND(M262="Aplicada",OR(P262="Pagada",P262="Incluida en expensas")),"Cerrado - multa cobrada",IF(M262="Aplicada","Multa aplicada - impaga",IF(L262&lt;&gt;"","Descargo respondido - a resolver",IF(J262="Sí","Esperando respuesta descargo","Pendiente enviar descargo"))))))</f>
        <v/>
      </c>
      <c r="T262" s="18" t="str">
        <f aca="true">IF(B262="","",TODAY()-B262)</f>
        <v/>
      </c>
    </row>
    <row r="263" customFormat="false" ht="15" hidden="false" customHeight="false" outlineLevel="0" collapsed="false">
      <c r="A263" s="11" t="str">
        <f aca="false">IF(B263="","",ROW()-3)</f>
        <v/>
      </c>
      <c r="B263" s="12"/>
      <c r="C263" s="13"/>
      <c r="D263" s="14"/>
      <c r="E263" s="11"/>
      <c r="F263" s="15"/>
      <c r="G263" s="14"/>
      <c r="H263" s="15"/>
      <c r="I263" s="15"/>
      <c r="J263" s="16"/>
      <c r="K263" s="12"/>
      <c r="L263" s="12"/>
      <c r="M263" s="16"/>
      <c r="N263" s="12"/>
      <c r="O263" s="17"/>
      <c r="P263" s="16"/>
      <c r="Q263" s="12"/>
      <c r="R263" s="15"/>
      <c r="S263" s="16" t="str">
        <f aca="false">IF(B263="","",IF(M263="Desestimada","Cerrado - desestimada",IF(AND(M263="Aplicada",OR(P263="Pagada",P263="Incluida en expensas")),"Cerrado - multa cobrada",IF(M263="Aplicada","Multa aplicada - impaga",IF(L263&lt;&gt;"","Descargo respondido - a resolver",IF(J263="Sí","Esperando respuesta descargo","Pendiente enviar descargo"))))))</f>
        <v/>
      </c>
      <c r="T263" s="18" t="str">
        <f aca="true">IF(B263="","",TODAY()-B263)</f>
        <v/>
      </c>
    </row>
    <row r="264" customFormat="false" ht="15" hidden="false" customHeight="false" outlineLevel="0" collapsed="false">
      <c r="A264" s="11" t="str">
        <f aca="false">IF(B264="","",ROW()-3)</f>
        <v/>
      </c>
      <c r="B264" s="12"/>
      <c r="C264" s="13"/>
      <c r="D264" s="14"/>
      <c r="E264" s="11"/>
      <c r="F264" s="15"/>
      <c r="G264" s="14"/>
      <c r="H264" s="15"/>
      <c r="I264" s="15"/>
      <c r="J264" s="16"/>
      <c r="K264" s="12"/>
      <c r="L264" s="12"/>
      <c r="M264" s="16"/>
      <c r="N264" s="12"/>
      <c r="O264" s="17"/>
      <c r="P264" s="16"/>
      <c r="Q264" s="12"/>
      <c r="R264" s="15"/>
      <c r="S264" s="16" t="str">
        <f aca="false">IF(B264="","",IF(M264="Desestimada","Cerrado - desestimada",IF(AND(M264="Aplicada",OR(P264="Pagada",P264="Incluida en expensas")),"Cerrado - multa cobrada",IF(M264="Aplicada","Multa aplicada - impaga",IF(L264&lt;&gt;"","Descargo respondido - a resolver",IF(J264="Sí","Esperando respuesta descargo","Pendiente enviar descargo"))))))</f>
        <v/>
      </c>
      <c r="T264" s="18" t="str">
        <f aca="true">IF(B264="","",TODAY()-B264)</f>
        <v/>
      </c>
    </row>
    <row r="265" customFormat="false" ht="15" hidden="false" customHeight="false" outlineLevel="0" collapsed="false">
      <c r="A265" s="11" t="str">
        <f aca="false">IF(B265="","",ROW()-3)</f>
        <v/>
      </c>
      <c r="B265" s="12"/>
      <c r="C265" s="13"/>
      <c r="D265" s="14"/>
      <c r="E265" s="11"/>
      <c r="F265" s="15"/>
      <c r="G265" s="14"/>
      <c r="H265" s="15"/>
      <c r="I265" s="15"/>
      <c r="J265" s="16"/>
      <c r="K265" s="12"/>
      <c r="L265" s="12"/>
      <c r="M265" s="16"/>
      <c r="N265" s="12"/>
      <c r="O265" s="17"/>
      <c r="P265" s="16"/>
      <c r="Q265" s="12"/>
      <c r="R265" s="15"/>
      <c r="S265" s="16" t="str">
        <f aca="false">IF(B265="","",IF(M265="Desestimada","Cerrado - desestimada",IF(AND(M265="Aplicada",OR(P265="Pagada",P265="Incluida en expensas")),"Cerrado - multa cobrada",IF(M265="Aplicada","Multa aplicada - impaga",IF(L265&lt;&gt;"","Descargo respondido - a resolver",IF(J265="Sí","Esperando respuesta descargo","Pendiente enviar descargo"))))))</f>
        <v/>
      </c>
      <c r="T265" s="18" t="str">
        <f aca="true">IF(B265="","",TODAY()-B265)</f>
        <v/>
      </c>
    </row>
    <row r="266" customFormat="false" ht="15" hidden="false" customHeight="false" outlineLevel="0" collapsed="false">
      <c r="A266" s="11" t="str">
        <f aca="false">IF(B266="","",ROW()-3)</f>
        <v/>
      </c>
      <c r="B266" s="12"/>
      <c r="C266" s="13"/>
      <c r="D266" s="14"/>
      <c r="E266" s="11"/>
      <c r="F266" s="15"/>
      <c r="G266" s="14"/>
      <c r="H266" s="15"/>
      <c r="I266" s="15"/>
      <c r="J266" s="16"/>
      <c r="K266" s="12"/>
      <c r="L266" s="12"/>
      <c r="M266" s="16"/>
      <c r="N266" s="12"/>
      <c r="O266" s="17"/>
      <c r="P266" s="16"/>
      <c r="Q266" s="12"/>
      <c r="R266" s="15"/>
      <c r="S266" s="16" t="str">
        <f aca="false">IF(B266="","",IF(M266="Desestimada","Cerrado - desestimada",IF(AND(M266="Aplicada",OR(P266="Pagada",P266="Incluida en expensas")),"Cerrado - multa cobrada",IF(M266="Aplicada","Multa aplicada - impaga",IF(L266&lt;&gt;"","Descargo respondido - a resolver",IF(J266="Sí","Esperando respuesta descargo","Pendiente enviar descargo"))))))</f>
        <v/>
      </c>
      <c r="T266" s="18" t="str">
        <f aca="true">IF(B266="","",TODAY()-B266)</f>
        <v/>
      </c>
    </row>
    <row r="267" customFormat="false" ht="15" hidden="false" customHeight="false" outlineLevel="0" collapsed="false">
      <c r="A267" s="11" t="str">
        <f aca="false">IF(B267="","",ROW()-3)</f>
        <v/>
      </c>
      <c r="B267" s="12"/>
      <c r="C267" s="13"/>
      <c r="D267" s="14"/>
      <c r="E267" s="11"/>
      <c r="F267" s="15"/>
      <c r="G267" s="14"/>
      <c r="H267" s="15"/>
      <c r="I267" s="15"/>
      <c r="J267" s="16"/>
      <c r="K267" s="12"/>
      <c r="L267" s="12"/>
      <c r="M267" s="16"/>
      <c r="N267" s="12"/>
      <c r="O267" s="17"/>
      <c r="P267" s="16"/>
      <c r="Q267" s="12"/>
      <c r="R267" s="15"/>
      <c r="S267" s="16" t="str">
        <f aca="false">IF(B267="","",IF(M267="Desestimada","Cerrado - desestimada",IF(AND(M267="Aplicada",OR(P267="Pagada",P267="Incluida en expensas")),"Cerrado - multa cobrada",IF(M267="Aplicada","Multa aplicada - impaga",IF(L267&lt;&gt;"","Descargo respondido - a resolver",IF(J267="Sí","Esperando respuesta descargo","Pendiente enviar descargo"))))))</f>
        <v/>
      </c>
      <c r="T267" s="18" t="str">
        <f aca="true">IF(B267="","",TODAY()-B267)</f>
        <v/>
      </c>
    </row>
    <row r="268" customFormat="false" ht="15" hidden="false" customHeight="false" outlineLevel="0" collapsed="false">
      <c r="A268" s="11" t="str">
        <f aca="false">IF(B268="","",ROW()-3)</f>
        <v/>
      </c>
      <c r="B268" s="12"/>
      <c r="C268" s="13"/>
      <c r="D268" s="14"/>
      <c r="E268" s="11"/>
      <c r="F268" s="15"/>
      <c r="G268" s="14"/>
      <c r="H268" s="15"/>
      <c r="I268" s="15"/>
      <c r="J268" s="16"/>
      <c r="K268" s="12"/>
      <c r="L268" s="12"/>
      <c r="M268" s="16"/>
      <c r="N268" s="12"/>
      <c r="O268" s="17"/>
      <c r="P268" s="16"/>
      <c r="Q268" s="12"/>
      <c r="R268" s="15"/>
      <c r="S268" s="16" t="str">
        <f aca="false">IF(B268="","",IF(M268="Desestimada","Cerrado - desestimada",IF(AND(M268="Aplicada",OR(P268="Pagada",P268="Incluida en expensas")),"Cerrado - multa cobrada",IF(M268="Aplicada","Multa aplicada - impaga",IF(L268&lt;&gt;"","Descargo respondido - a resolver",IF(J268="Sí","Esperando respuesta descargo","Pendiente enviar descargo"))))))</f>
        <v/>
      </c>
      <c r="T268" s="18" t="str">
        <f aca="true">IF(B268="","",TODAY()-B268)</f>
        <v/>
      </c>
    </row>
    <row r="269" customFormat="false" ht="15" hidden="false" customHeight="false" outlineLevel="0" collapsed="false">
      <c r="A269" s="11" t="str">
        <f aca="false">IF(B269="","",ROW()-3)</f>
        <v/>
      </c>
      <c r="B269" s="12"/>
      <c r="C269" s="13"/>
      <c r="D269" s="14"/>
      <c r="E269" s="11"/>
      <c r="F269" s="15"/>
      <c r="G269" s="14"/>
      <c r="H269" s="15"/>
      <c r="I269" s="15"/>
      <c r="J269" s="16"/>
      <c r="K269" s="12"/>
      <c r="L269" s="12"/>
      <c r="M269" s="16"/>
      <c r="N269" s="12"/>
      <c r="O269" s="17"/>
      <c r="P269" s="16"/>
      <c r="Q269" s="12"/>
      <c r="R269" s="15"/>
      <c r="S269" s="16" t="str">
        <f aca="false">IF(B269="","",IF(M269="Desestimada","Cerrado - desestimada",IF(AND(M269="Aplicada",OR(P269="Pagada",P269="Incluida en expensas")),"Cerrado - multa cobrada",IF(M269="Aplicada","Multa aplicada - impaga",IF(L269&lt;&gt;"","Descargo respondido - a resolver",IF(J269="Sí","Esperando respuesta descargo","Pendiente enviar descargo"))))))</f>
        <v/>
      </c>
      <c r="T269" s="18" t="str">
        <f aca="true">IF(B269="","",TODAY()-B269)</f>
        <v/>
      </c>
    </row>
    <row r="270" customFormat="false" ht="15" hidden="false" customHeight="false" outlineLevel="0" collapsed="false">
      <c r="A270" s="11" t="str">
        <f aca="false">IF(B270="","",ROW()-3)</f>
        <v/>
      </c>
      <c r="B270" s="12"/>
      <c r="C270" s="13"/>
      <c r="D270" s="14"/>
      <c r="E270" s="11"/>
      <c r="F270" s="15"/>
      <c r="G270" s="14"/>
      <c r="H270" s="15"/>
      <c r="I270" s="15"/>
      <c r="J270" s="16"/>
      <c r="K270" s="12"/>
      <c r="L270" s="12"/>
      <c r="M270" s="16"/>
      <c r="N270" s="12"/>
      <c r="O270" s="17"/>
      <c r="P270" s="16"/>
      <c r="Q270" s="12"/>
      <c r="R270" s="15"/>
      <c r="S270" s="16" t="str">
        <f aca="false">IF(B270="","",IF(M270="Desestimada","Cerrado - desestimada",IF(AND(M270="Aplicada",OR(P270="Pagada",P270="Incluida en expensas")),"Cerrado - multa cobrada",IF(M270="Aplicada","Multa aplicada - impaga",IF(L270&lt;&gt;"","Descargo respondido - a resolver",IF(J270="Sí","Esperando respuesta descargo","Pendiente enviar descargo"))))))</f>
        <v/>
      </c>
      <c r="T270" s="18" t="str">
        <f aca="true">IF(B270="","",TODAY()-B270)</f>
        <v/>
      </c>
    </row>
    <row r="271" customFormat="false" ht="15" hidden="false" customHeight="false" outlineLevel="0" collapsed="false">
      <c r="A271" s="11" t="str">
        <f aca="false">IF(B271="","",ROW()-3)</f>
        <v/>
      </c>
      <c r="B271" s="12"/>
      <c r="C271" s="13"/>
      <c r="D271" s="14"/>
      <c r="E271" s="11"/>
      <c r="F271" s="15"/>
      <c r="G271" s="14"/>
      <c r="H271" s="15"/>
      <c r="I271" s="15"/>
      <c r="J271" s="16"/>
      <c r="K271" s="12"/>
      <c r="L271" s="12"/>
      <c r="M271" s="16"/>
      <c r="N271" s="12"/>
      <c r="O271" s="17"/>
      <c r="P271" s="16"/>
      <c r="Q271" s="12"/>
      <c r="R271" s="15"/>
      <c r="S271" s="16" t="str">
        <f aca="false">IF(B271="","",IF(M271="Desestimada","Cerrado - desestimada",IF(AND(M271="Aplicada",OR(P271="Pagada",P271="Incluida en expensas")),"Cerrado - multa cobrada",IF(M271="Aplicada","Multa aplicada - impaga",IF(L271&lt;&gt;"","Descargo respondido - a resolver",IF(J271="Sí","Esperando respuesta descargo","Pendiente enviar descargo"))))))</f>
        <v/>
      </c>
      <c r="T271" s="18" t="str">
        <f aca="true">IF(B271="","",TODAY()-B271)</f>
        <v/>
      </c>
    </row>
    <row r="272" customFormat="false" ht="15" hidden="false" customHeight="false" outlineLevel="0" collapsed="false">
      <c r="A272" s="11" t="str">
        <f aca="false">IF(B272="","",ROW()-3)</f>
        <v/>
      </c>
      <c r="B272" s="12"/>
      <c r="C272" s="13"/>
      <c r="D272" s="14"/>
      <c r="E272" s="11"/>
      <c r="F272" s="15"/>
      <c r="G272" s="14"/>
      <c r="H272" s="15"/>
      <c r="I272" s="15"/>
      <c r="J272" s="16"/>
      <c r="K272" s="12"/>
      <c r="L272" s="12"/>
      <c r="M272" s="16"/>
      <c r="N272" s="12"/>
      <c r="O272" s="17"/>
      <c r="P272" s="16"/>
      <c r="Q272" s="12"/>
      <c r="R272" s="15"/>
      <c r="S272" s="16" t="str">
        <f aca="false">IF(B272="","",IF(M272="Desestimada","Cerrado - desestimada",IF(AND(M272="Aplicada",OR(P272="Pagada",P272="Incluida en expensas")),"Cerrado - multa cobrada",IF(M272="Aplicada","Multa aplicada - impaga",IF(L272&lt;&gt;"","Descargo respondido - a resolver",IF(J272="Sí","Esperando respuesta descargo","Pendiente enviar descargo"))))))</f>
        <v/>
      </c>
      <c r="T272" s="18" t="str">
        <f aca="true">IF(B272="","",TODAY()-B272)</f>
        <v/>
      </c>
    </row>
    <row r="273" customFormat="false" ht="15" hidden="false" customHeight="false" outlineLevel="0" collapsed="false">
      <c r="A273" s="11" t="str">
        <f aca="false">IF(B273="","",ROW()-3)</f>
        <v/>
      </c>
      <c r="B273" s="12"/>
      <c r="C273" s="13"/>
      <c r="D273" s="14"/>
      <c r="E273" s="11"/>
      <c r="F273" s="15"/>
      <c r="G273" s="14"/>
      <c r="H273" s="15"/>
      <c r="I273" s="15"/>
      <c r="J273" s="16"/>
      <c r="K273" s="12"/>
      <c r="L273" s="12"/>
      <c r="M273" s="16"/>
      <c r="N273" s="12"/>
      <c r="O273" s="17"/>
      <c r="P273" s="16"/>
      <c r="Q273" s="12"/>
      <c r="R273" s="15"/>
      <c r="S273" s="16" t="str">
        <f aca="false">IF(B273="","",IF(M273="Desestimada","Cerrado - desestimada",IF(AND(M273="Aplicada",OR(P273="Pagada",P273="Incluida en expensas")),"Cerrado - multa cobrada",IF(M273="Aplicada","Multa aplicada - impaga",IF(L273&lt;&gt;"","Descargo respondido - a resolver",IF(J273="Sí","Esperando respuesta descargo","Pendiente enviar descargo"))))))</f>
        <v/>
      </c>
      <c r="T273" s="18" t="str">
        <f aca="true">IF(B273="","",TODAY()-B273)</f>
        <v/>
      </c>
    </row>
    <row r="274" customFormat="false" ht="15" hidden="false" customHeight="false" outlineLevel="0" collapsed="false">
      <c r="A274" s="11" t="str">
        <f aca="false">IF(B274="","",ROW()-3)</f>
        <v/>
      </c>
      <c r="B274" s="12"/>
      <c r="C274" s="13"/>
      <c r="D274" s="14"/>
      <c r="E274" s="11"/>
      <c r="F274" s="15"/>
      <c r="G274" s="14"/>
      <c r="H274" s="15"/>
      <c r="I274" s="15"/>
      <c r="J274" s="16"/>
      <c r="K274" s="12"/>
      <c r="L274" s="12"/>
      <c r="M274" s="16"/>
      <c r="N274" s="12"/>
      <c r="O274" s="17"/>
      <c r="P274" s="16"/>
      <c r="Q274" s="12"/>
      <c r="R274" s="15"/>
      <c r="S274" s="16" t="str">
        <f aca="false">IF(B274="","",IF(M274="Desestimada","Cerrado - desestimada",IF(AND(M274="Aplicada",OR(P274="Pagada",P274="Incluida en expensas")),"Cerrado - multa cobrada",IF(M274="Aplicada","Multa aplicada - impaga",IF(L274&lt;&gt;"","Descargo respondido - a resolver",IF(J274="Sí","Esperando respuesta descargo","Pendiente enviar descargo"))))))</f>
        <v/>
      </c>
      <c r="T274" s="18" t="str">
        <f aca="true">IF(B274="","",TODAY()-B274)</f>
        <v/>
      </c>
    </row>
    <row r="275" customFormat="false" ht="15" hidden="false" customHeight="false" outlineLevel="0" collapsed="false">
      <c r="A275" s="11" t="str">
        <f aca="false">IF(B275="","",ROW()-3)</f>
        <v/>
      </c>
      <c r="B275" s="12"/>
      <c r="C275" s="13"/>
      <c r="D275" s="14"/>
      <c r="E275" s="11"/>
      <c r="F275" s="15"/>
      <c r="G275" s="14"/>
      <c r="H275" s="15"/>
      <c r="I275" s="15"/>
      <c r="J275" s="16"/>
      <c r="K275" s="12"/>
      <c r="L275" s="12"/>
      <c r="M275" s="16"/>
      <c r="N275" s="12"/>
      <c r="O275" s="17"/>
      <c r="P275" s="16"/>
      <c r="Q275" s="12"/>
      <c r="R275" s="15"/>
      <c r="S275" s="16" t="str">
        <f aca="false">IF(B275="","",IF(M275="Desestimada","Cerrado - desestimada",IF(AND(M275="Aplicada",OR(P275="Pagada",P275="Incluida en expensas")),"Cerrado - multa cobrada",IF(M275="Aplicada","Multa aplicada - impaga",IF(L275&lt;&gt;"","Descargo respondido - a resolver",IF(J275="Sí","Esperando respuesta descargo","Pendiente enviar descargo"))))))</f>
        <v/>
      </c>
      <c r="T275" s="18" t="str">
        <f aca="true">IF(B275="","",TODAY()-B275)</f>
        <v/>
      </c>
    </row>
    <row r="276" customFormat="false" ht="15" hidden="false" customHeight="false" outlineLevel="0" collapsed="false">
      <c r="A276" s="11" t="str">
        <f aca="false">IF(B276="","",ROW()-3)</f>
        <v/>
      </c>
      <c r="B276" s="12"/>
      <c r="C276" s="13"/>
      <c r="D276" s="14"/>
      <c r="E276" s="11"/>
      <c r="F276" s="15"/>
      <c r="G276" s="14"/>
      <c r="H276" s="15"/>
      <c r="I276" s="15"/>
      <c r="J276" s="16"/>
      <c r="K276" s="12"/>
      <c r="L276" s="12"/>
      <c r="M276" s="16"/>
      <c r="N276" s="12"/>
      <c r="O276" s="17"/>
      <c r="P276" s="16"/>
      <c r="Q276" s="12"/>
      <c r="R276" s="15"/>
      <c r="S276" s="16" t="str">
        <f aca="false">IF(B276="","",IF(M276="Desestimada","Cerrado - desestimada",IF(AND(M276="Aplicada",OR(P276="Pagada",P276="Incluida en expensas")),"Cerrado - multa cobrada",IF(M276="Aplicada","Multa aplicada - impaga",IF(L276&lt;&gt;"","Descargo respondido - a resolver",IF(J276="Sí","Esperando respuesta descargo","Pendiente enviar descargo"))))))</f>
        <v/>
      </c>
      <c r="T276" s="18" t="str">
        <f aca="true">IF(B276="","",TODAY()-B276)</f>
        <v/>
      </c>
    </row>
    <row r="277" customFormat="false" ht="15" hidden="false" customHeight="false" outlineLevel="0" collapsed="false">
      <c r="A277" s="11" t="str">
        <f aca="false">IF(B277="","",ROW()-3)</f>
        <v/>
      </c>
      <c r="B277" s="12"/>
      <c r="C277" s="13"/>
      <c r="D277" s="14"/>
      <c r="E277" s="11"/>
      <c r="F277" s="15"/>
      <c r="G277" s="14"/>
      <c r="H277" s="15"/>
      <c r="I277" s="15"/>
      <c r="J277" s="16"/>
      <c r="K277" s="12"/>
      <c r="L277" s="12"/>
      <c r="M277" s="16"/>
      <c r="N277" s="12"/>
      <c r="O277" s="17"/>
      <c r="P277" s="16"/>
      <c r="Q277" s="12"/>
      <c r="R277" s="15"/>
      <c r="S277" s="16" t="str">
        <f aca="false">IF(B277="","",IF(M277="Desestimada","Cerrado - desestimada",IF(AND(M277="Aplicada",OR(P277="Pagada",P277="Incluida en expensas")),"Cerrado - multa cobrada",IF(M277="Aplicada","Multa aplicada - impaga",IF(L277&lt;&gt;"","Descargo respondido - a resolver",IF(J277="Sí","Esperando respuesta descargo","Pendiente enviar descargo"))))))</f>
        <v/>
      </c>
      <c r="T277" s="18" t="str">
        <f aca="true">IF(B277="","",TODAY()-B277)</f>
        <v/>
      </c>
    </row>
    <row r="278" customFormat="false" ht="15" hidden="false" customHeight="false" outlineLevel="0" collapsed="false">
      <c r="A278" s="11" t="str">
        <f aca="false">IF(B278="","",ROW()-3)</f>
        <v/>
      </c>
      <c r="B278" s="12"/>
      <c r="C278" s="13"/>
      <c r="D278" s="14"/>
      <c r="E278" s="11"/>
      <c r="F278" s="15"/>
      <c r="G278" s="14"/>
      <c r="H278" s="15"/>
      <c r="I278" s="15"/>
      <c r="J278" s="16"/>
      <c r="K278" s="12"/>
      <c r="L278" s="12"/>
      <c r="M278" s="16"/>
      <c r="N278" s="12"/>
      <c r="O278" s="17"/>
      <c r="P278" s="16"/>
      <c r="Q278" s="12"/>
      <c r="R278" s="15"/>
      <c r="S278" s="16" t="str">
        <f aca="false">IF(B278="","",IF(M278="Desestimada","Cerrado - desestimada",IF(AND(M278="Aplicada",OR(P278="Pagada",P278="Incluida en expensas")),"Cerrado - multa cobrada",IF(M278="Aplicada","Multa aplicada - impaga",IF(L278&lt;&gt;"","Descargo respondido - a resolver",IF(J278="Sí","Esperando respuesta descargo","Pendiente enviar descargo"))))))</f>
        <v/>
      </c>
      <c r="T278" s="18" t="str">
        <f aca="true">IF(B278="","",TODAY()-B278)</f>
        <v/>
      </c>
    </row>
    <row r="279" customFormat="false" ht="15" hidden="false" customHeight="false" outlineLevel="0" collapsed="false">
      <c r="A279" s="11" t="str">
        <f aca="false">IF(B279="","",ROW()-3)</f>
        <v/>
      </c>
      <c r="B279" s="12"/>
      <c r="C279" s="13"/>
      <c r="D279" s="14"/>
      <c r="E279" s="11"/>
      <c r="F279" s="15"/>
      <c r="G279" s="14"/>
      <c r="H279" s="15"/>
      <c r="I279" s="15"/>
      <c r="J279" s="16"/>
      <c r="K279" s="12"/>
      <c r="L279" s="12"/>
      <c r="M279" s="16"/>
      <c r="N279" s="12"/>
      <c r="O279" s="17"/>
      <c r="P279" s="16"/>
      <c r="Q279" s="12"/>
      <c r="R279" s="15"/>
      <c r="S279" s="16" t="str">
        <f aca="false">IF(B279="","",IF(M279="Desestimada","Cerrado - desestimada",IF(AND(M279="Aplicada",OR(P279="Pagada",P279="Incluida en expensas")),"Cerrado - multa cobrada",IF(M279="Aplicada","Multa aplicada - impaga",IF(L279&lt;&gt;"","Descargo respondido - a resolver",IF(J279="Sí","Esperando respuesta descargo","Pendiente enviar descargo"))))))</f>
        <v/>
      </c>
      <c r="T279" s="18" t="str">
        <f aca="true">IF(B279="","",TODAY()-B279)</f>
        <v/>
      </c>
    </row>
    <row r="280" customFormat="false" ht="15" hidden="false" customHeight="false" outlineLevel="0" collapsed="false">
      <c r="A280" s="11" t="str">
        <f aca="false">IF(B280="","",ROW()-3)</f>
        <v/>
      </c>
      <c r="B280" s="12"/>
      <c r="C280" s="13"/>
      <c r="D280" s="14"/>
      <c r="E280" s="11"/>
      <c r="F280" s="15"/>
      <c r="G280" s="14"/>
      <c r="H280" s="15"/>
      <c r="I280" s="15"/>
      <c r="J280" s="16"/>
      <c r="K280" s="12"/>
      <c r="L280" s="12"/>
      <c r="M280" s="16"/>
      <c r="N280" s="12"/>
      <c r="O280" s="17"/>
      <c r="P280" s="16"/>
      <c r="Q280" s="12"/>
      <c r="R280" s="15"/>
      <c r="S280" s="16" t="str">
        <f aca="false">IF(B280="","",IF(M280="Desestimada","Cerrado - desestimada",IF(AND(M280="Aplicada",OR(P280="Pagada",P280="Incluida en expensas")),"Cerrado - multa cobrada",IF(M280="Aplicada","Multa aplicada - impaga",IF(L280&lt;&gt;"","Descargo respondido - a resolver",IF(J280="Sí","Esperando respuesta descargo","Pendiente enviar descargo"))))))</f>
        <v/>
      </c>
      <c r="T280" s="18" t="str">
        <f aca="true">IF(B280="","",TODAY()-B280)</f>
        <v/>
      </c>
    </row>
    <row r="281" customFormat="false" ht="15" hidden="false" customHeight="false" outlineLevel="0" collapsed="false">
      <c r="A281" s="11" t="str">
        <f aca="false">IF(B281="","",ROW()-3)</f>
        <v/>
      </c>
      <c r="B281" s="12"/>
      <c r="C281" s="13"/>
      <c r="D281" s="14"/>
      <c r="E281" s="11"/>
      <c r="F281" s="15"/>
      <c r="G281" s="14"/>
      <c r="H281" s="15"/>
      <c r="I281" s="15"/>
      <c r="J281" s="16"/>
      <c r="K281" s="12"/>
      <c r="L281" s="12"/>
      <c r="M281" s="16"/>
      <c r="N281" s="12"/>
      <c r="O281" s="17"/>
      <c r="P281" s="16"/>
      <c r="Q281" s="12"/>
      <c r="R281" s="15"/>
      <c r="S281" s="16" t="str">
        <f aca="false">IF(B281="","",IF(M281="Desestimada","Cerrado - desestimada",IF(AND(M281="Aplicada",OR(P281="Pagada",P281="Incluida en expensas")),"Cerrado - multa cobrada",IF(M281="Aplicada","Multa aplicada - impaga",IF(L281&lt;&gt;"","Descargo respondido - a resolver",IF(J281="Sí","Esperando respuesta descargo","Pendiente enviar descargo"))))))</f>
        <v/>
      </c>
      <c r="T281" s="18" t="str">
        <f aca="true">IF(B281="","",TODAY()-B281)</f>
        <v/>
      </c>
    </row>
    <row r="282" customFormat="false" ht="15" hidden="false" customHeight="false" outlineLevel="0" collapsed="false">
      <c r="A282" s="11" t="str">
        <f aca="false">IF(B282="","",ROW()-3)</f>
        <v/>
      </c>
      <c r="B282" s="12"/>
      <c r="C282" s="13"/>
      <c r="D282" s="14"/>
      <c r="E282" s="11"/>
      <c r="F282" s="15"/>
      <c r="G282" s="14"/>
      <c r="H282" s="15"/>
      <c r="I282" s="15"/>
      <c r="J282" s="16"/>
      <c r="K282" s="12"/>
      <c r="L282" s="12"/>
      <c r="M282" s="16"/>
      <c r="N282" s="12"/>
      <c r="O282" s="17"/>
      <c r="P282" s="16"/>
      <c r="Q282" s="12"/>
      <c r="R282" s="15"/>
      <c r="S282" s="16" t="str">
        <f aca="false">IF(B282="","",IF(M282="Desestimada","Cerrado - desestimada",IF(AND(M282="Aplicada",OR(P282="Pagada",P282="Incluida en expensas")),"Cerrado - multa cobrada",IF(M282="Aplicada","Multa aplicada - impaga",IF(L282&lt;&gt;"","Descargo respondido - a resolver",IF(J282="Sí","Esperando respuesta descargo","Pendiente enviar descargo"))))))</f>
        <v/>
      </c>
      <c r="T282" s="18" t="str">
        <f aca="true">IF(B282="","",TODAY()-B282)</f>
        <v/>
      </c>
    </row>
    <row r="283" customFormat="false" ht="15" hidden="false" customHeight="false" outlineLevel="0" collapsed="false">
      <c r="A283" s="11" t="str">
        <f aca="false">IF(B283="","",ROW()-3)</f>
        <v/>
      </c>
      <c r="B283" s="12"/>
      <c r="C283" s="13"/>
      <c r="D283" s="14"/>
      <c r="E283" s="11"/>
      <c r="F283" s="15"/>
      <c r="G283" s="14"/>
      <c r="H283" s="15"/>
      <c r="I283" s="15"/>
      <c r="J283" s="16"/>
      <c r="K283" s="12"/>
      <c r="L283" s="12"/>
      <c r="M283" s="16"/>
      <c r="N283" s="12"/>
      <c r="O283" s="17"/>
      <c r="P283" s="16"/>
      <c r="Q283" s="12"/>
      <c r="R283" s="15"/>
      <c r="S283" s="16" t="str">
        <f aca="false">IF(B283="","",IF(M283="Desestimada","Cerrado - desestimada",IF(AND(M283="Aplicada",OR(P283="Pagada",P283="Incluida en expensas")),"Cerrado - multa cobrada",IF(M283="Aplicada","Multa aplicada - impaga",IF(L283&lt;&gt;"","Descargo respondido - a resolver",IF(J283="Sí","Esperando respuesta descargo","Pendiente enviar descargo"))))))</f>
        <v/>
      </c>
      <c r="T283" s="18" t="str">
        <f aca="true">IF(B283="","",TODAY()-B283)</f>
        <v/>
      </c>
    </row>
    <row r="284" customFormat="false" ht="15" hidden="false" customHeight="false" outlineLevel="0" collapsed="false">
      <c r="A284" s="11" t="str">
        <f aca="false">IF(B284="","",ROW()-3)</f>
        <v/>
      </c>
      <c r="B284" s="12"/>
      <c r="C284" s="13"/>
      <c r="D284" s="14"/>
      <c r="E284" s="11"/>
      <c r="F284" s="15"/>
      <c r="G284" s="14"/>
      <c r="H284" s="15"/>
      <c r="I284" s="15"/>
      <c r="J284" s="16"/>
      <c r="K284" s="12"/>
      <c r="L284" s="12"/>
      <c r="M284" s="16"/>
      <c r="N284" s="12"/>
      <c r="O284" s="17"/>
      <c r="P284" s="16"/>
      <c r="Q284" s="12"/>
      <c r="R284" s="15"/>
      <c r="S284" s="16" t="str">
        <f aca="false">IF(B284="","",IF(M284="Desestimada","Cerrado - desestimada",IF(AND(M284="Aplicada",OR(P284="Pagada",P284="Incluida en expensas")),"Cerrado - multa cobrada",IF(M284="Aplicada","Multa aplicada - impaga",IF(L284&lt;&gt;"","Descargo respondido - a resolver",IF(J284="Sí","Esperando respuesta descargo","Pendiente enviar descargo"))))))</f>
        <v/>
      </c>
      <c r="T284" s="18" t="str">
        <f aca="true">IF(B284="","",TODAY()-B284)</f>
        <v/>
      </c>
    </row>
    <row r="285" customFormat="false" ht="15" hidden="false" customHeight="false" outlineLevel="0" collapsed="false">
      <c r="A285" s="11" t="str">
        <f aca="false">IF(B285="","",ROW()-3)</f>
        <v/>
      </c>
      <c r="B285" s="12"/>
      <c r="C285" s="13"/>
      <c r="D285" s="14"/>
      <c r="E285" s="11"/>
      <c r="F285" s="15"/>
      <c r="G285" s="14"/>
      <c r="H285" s="15"/>
      <c r="I285" s="15"/>
      <c r="J285" s="16"/>
      <c r="K285" s="12"/>
      <c r="L285" s="12"/>
      <c r="M285" s="16"/>
      <c r="N285" s="12"/>
      <c r="O285" s="17"/>
      <c r="P285" s="16"/>
      <c r="Q285" s="12"/>
      <c r="R285" s="15"/>
      <c r="S285" s="16" t="str">
        <f aca="false">IF(B285="","",IF(M285="Desestimada","Cerrado - desestimada",IF(AND(M285="Aplicada",OR(P285="Pagada",P285="Incluida en expensas")),"Cerrado - multa cobrada",IF(M285="Aplicada","Multa aplicada - impaga",IF(L285&lt;&gt;"","Descargo respondido - a resolver",IF(J285="Sí","Esperando respuesta descargo","Pendiente enviar descargo"))))))</f>
        <v/>
      </c>
      <c r="T285" s="18" t="str">
        <f aca="true">IF(B285="","",TODAY()-B285)</f>
        <v/>
      </c>
    </row>
    <row r="286" customFormat="false" ht="15" hidden="false" customHeight="false" outlineLevel="0" collapsed="false">
      <c r="A286" s="11" t="str">
        <f aca="false">IF(B286="","",ROW()-3)</f>
        <v/>
      </c>
      <c r="B286" s="12"/>
      <c r="C286" s="13"/>
      <c r="D286" s="14"/>
      <c r="E286" s="11"/>
      <c r="F286" s="15"/>
      <c r="G286" s="14"/>
      <c r="H286" s="15"/>
      <c r="I286" s="15"/>
      <c r="J286" s="16"/>
      <c r="K286" s="12"/>
      <c r="L286" s="12"/>
      <c r="M286" s="16"/>
      <c r="N286" s="12"/>
      <c r="O286" s="17"/>
      <c r="P286" s="16"/>
      <c r="Q286" s="12"/>
      <c r="R286" s="15"/>
      <c r="S286" s="16" t="str">
        <f aca="false">IF(B286="","",IF(M286="Desestimada","Cerrado - desestimada",IF(AND(M286="Aplicada",OR(P286="Pagada",P286="Incluida en expensas")),"Cerrado - multa cobrada",IF(M286="Aplicada","Multa aplicada - impaga",IF(L286&lt;&gt;"","Descargo respondido - a resolver",IF(J286="Sí","Esperando respuesta descargo","Pendiente enviar descargo"))))))</f>
        <v/>
      </c>
      <c r="T286" s="18" t="str">
        <f aca="true">IF(B286="","",TODAY()-B286)</f>
        <v/>
      </c>
    </row>
    <row r="287" customFormat="false" ht="15" hidden="false" customHeight="false" outlineLevel="0" collapsed="false">
      <c r="A287" s="11" t="str">
        <f aca="false">IF(B287="","",ROW()-3)</f>
        <v/>
      </c>
      <c r="B287" s="12"/>
      <c r="C287" s="13"/>
      <c r="D287" s="14"/>
      <c r="E287" s="11"/>
      <c r="F287" s="15"/>
      <c r="G287" s="14"/>
      <c r="H287" s="15"/>
      <c r="I287" s="15"/>
      <c r="J287" s="16"/>
      <c r="K287" s="12"/>
      <c r="L287" s="12"/>
      <c r="M287" s="16"/>
      <c r="N287" s="12"/>
      <c r="O287" s="17"/>
      <c r="P287" s="16"/>
      <c r="Q287" s="12"/>
      <c r="R287" s="15"/>
      <c r="S287" s="16" t="str">
        <f aca="false">IF(B287="","",IF(M287="Desestimada","Cerrado - desestimada",IF(AND(M287="Aplicada",OR(P287="Pagada",P287="Incluida en expensas")),"Cerrado - multa cobrada",IF(M287="Aplicada","Multa aplicada - impaga",IF(L287&lt;&gt;"","Descargo respondido - a resolver",IF(J287="Sí","Esperando respuesta descargo","Pendiente enviar descargo"))))))</f>
        <v/>
      </c>
      <c r="T287" s="18" t="str">
        <f aca="true">IF(B287="","",TODAY()-B287)</f>
        <v/>
      </c>
    </row>
    <row r="288" customFormat="false" ht="15" hidden="false" customHeight="false" outlineLevel="0" collapsed="false">
      <c r="A288" s="11" t="str">
        <f aca="false">IF(B288="","",ROW()-3)</f>
        <v/>
      </c>
      <c r="B288" s="12"/>
      <c r="C288" s="13"/>
      <c r="D288" s="14"/>
      <c r="E288" s="11"/>
      <c r="F288" s="15"/>
      <c r="G288" s="14"/>
      <c r="H288" s="15"/>
      <c r="I288" s="15"/>
      <c r="J288" s="16"/>
      <c r="K288" s="12"/>
      <c r="L288" s="12"/>
      <c r="M288" s="16"/>
      <c r="N288" s="12"/>
      <c r="O288" s="17"/>
      <c r="P288" s="16"/>
      <c r="Q288" s="12"/>
      <c r="R288" s="15"/>
      <c r="S288" s="16" t="str">
        <f aca="false">IF(B288="","",IF(M288="Desestimada","Cerrado - desestimada",IF(AND(M288="Aplicada",OR(P288="Pagada",P288="Incluida en expensas")),"Cerrado - multa cobrada",IF(M288="Aplicada","Multa aplicada - impaga",IF(L288&lt;&gt;"","Descargo respondido - a resolver",IF(J288="Sí","Esperando respuesta descargo","Pendiente enviar descargo"))))))</f>
        <v/>
      </c>
      <c r="T288" s="18" t="str">
        <f aca="true">IF(B288="","",TODAY()-B288)</f>
        <v/>
      </c>
    </row>
    <row r="289" customFormat="false" ht="15" hidden="false" customHeight="false" outlineLevel="0" collapsed="false">
      <c r="A289" s="11" t="str">
        <f aca="false">IF(B289="","",ROW()-3)</f>
        <v/>
      </c>
      <c r="B289" s="12"/>
      <c r="C289" s="13"/>
      <c r="D289" s="14"/>
      <c r="E289" s="11"/>
      <c r="F289" s="15"/>
      <c r="G289" s="14"/>
      <c r="H289" s="15"/>
      <c r="I289" s="15"/>
      <c r="J289" s="16"/>
      <c r="K289" s="12"/>
      <c r="L289" s="12"/>
      <c r="M289" s="16"/>
      <c r="N289" s="12"/>
      <c r="O289" s="17"/>
      <c r="P289" s="16"/>
      <c r="Q289" s="12"/>
      <c r="R289" s="15"/>
      <c r="S289" s="16" t="str">
        <f aca="false">IF(B289="","",IF(M289="Desestimada","Cerrado - desestimada",IF(AND(M289="Aplicada",OR(P289="Pagada",P289="Incluida en expensas")),"Cerrado - multa cobrada",IF(M289="Aplicada","Multa aplicada - impaga",IF(L289&lt;&gt;"","Descargo respondido - a resolver",IF(J289="Sí","Esperando respuesta descargo","Pendiente enviar descargo"))))))</f>
        <v/>
      </c>
      <c r="T289" s="18" t="str">
        <f aca="true">IF(B289="","",TODAY()-B289)</f>
        <v/>
      </c>
    </row>
    <row r="290" customFormat="false" ht="15" hidden="false" customHeight="false" outlineLevel="0" collapsed="false">
      <c r="A290" s="11" t="str">
        <f aca="false">IF(B290="","",ROW()-3)</f>
        <v/>
      </c>
      <c r="B290" s="12"/>
      <c r="C290" s="13"/>
      <c r="D290" s="14"/>
      <c r="E290" s="11"/>
      <c r="F290" s="15"/>
      <c r="G290" s="14"/>
      <c r="H290" s="15"/>
      <c r="I290" s="15"/>
      <c r="J290" s="16"/>
      <c r="K290" s="12"/>
      <c r="L290" s="12"/>
      <c r="M290" s="16"/>
      <c r="N290" s="12"/>
      <c r="O290" s="17"/>
      <c r="P290" s="16"/>
      <c r="Q290" s="12"/>
      <c r="R290" s="15"/>
      <c r="S290" s="16" t="str">
        <f aca="false">IF(B290="","",IF(M290="Desestimada","Cerrado - desestimada",IF(AND(M290="Aplicada",OR(P290="Pagada",P290="Incluida en expensas")),"Cerrado - multa cobrada",IF(M290="Aplicada","Multa aplicada - impaga",IF(L290&lt;&gt;"","Descargo respondido - a resolver",IF(J290="Sí","Esperando respuesta descargo","Pendiente enviar descargo"))))))</f>
        <v/>
      </c>
      <c r="T290" s="18" t="str">
        <f aca="true">IF(B290="","",TODAY()-B290)</f>
        <v/>
      </c>
    </row>
    <row r="291" customFormat="false" ht="15" hidden="false" customHeight="false" outlineLevel="0" collapsed="false">
      <c r="A291" s="11" t="str">
        <f aca="false">IF(B291="","",ROW()-3)</f>
        <v/>
      </c>
      <c r="B291" s="12"/>
      <c r="C291" s="13"/>
      <c r="D291" s="14"/>
      <c r="E291" s="11"/>
      <c r="F291" s="15"/>
      <c r="G291" s="14"/>
      <c r="H291" s="15"/>
      <c r="I291" s="15"/>
      <c r="J291" s="16"/>
      <c r="K291" s="12"/>
      <c r="L291" s="12"/>
      <c r="M291" s="16"/>
      <c r="N291" s="12"/>
      <c r="O291" s="17"/>
      <c r="P291" s="16"/>
      <c r="Q291" s="12"/>
      <c r="R291" s="15"/>
      <c r="S291" s="16" t="str">
        <f aca="false">IF(B291="","",IF(M291="Desestimada","Cerrado - desestimada",IF(AND(M291="Aplicada",OR(P291="Pagada",P291="Incluida en expensas")),"Cerrado - multa cobrada",IF(M291="Aplicada","Multa aplicada - impaga",IF(L291&lt;&gt;"","Descargo respondido - a resolver",IF(J291="Sí","Esperando respuesta descargo","Pendiente enviar descargo"))))))</f>
        <v/>
      </c>
      <c r="T291" s="18" t="str">
        <f aca="true">IF(B291="","",TODAY()-B291)</f>
        <v/>
      </c>
    </row>
    <row r="292" customFormat="false" ht="15" hidden="false" customHeight="false" outlineLevel="0" collapsed="false">
      <c r="A292" s="11" t="str">
        <f aca="false">IF(B292="","",ROW()-3)</f>
        <v/>
      </c>
      <c r="B292" s="12"/>
      <c r="C292" s="13"/>
      <c r="D292" s="14"/>
      <c r="E292" s="11"/>
      <c r="F292" s="15"/>
      <c r="G292" s="14"/>
      <c r="H292" s="15"/>
      <c r="I292" s="15"/>
      <c r="J292" s="16"/>
      <c r="K292" s="12"/>
      <c r="L292" s="12"/>
      <c r="M292" s="16"/>
      <c r="N292" s="12"/>
      <c r="O292" s="17"/>
      <c r="P292" s="16"/>
      <c r="Q292" s="12"/>
      <c r="R292" s="15"/>
      <c r="S292" s="16" t="str">
        <f aca="false">IF(B292="","",IF(M292="Desestimada","Cerrado - desestimada",IF(AND(M292="Aplicada",OR(P292="Pagada",P292="Incluida en expensas")),"Cerrado - multa cobrada",IF(M292="Aplicada","Multa aplicada - impaga",IF(L292&lt;&gt;"","Descargo respondido - a resolver",IF(J292="Sí","Esperando respuesta descargo","Pendiente enviar descargo"))))))</f>
        <v/>
      </c>
      <c r="T292" s="18" t="str">
        <f aca="true">IF(B292="","",TODAY()-B292)</f>
        <v/>
      </c>
    </row>
    <row r="293" customFormat="false" ht="15" hidden="false" customHeight="false" outlineLevel="0" collapsed="false">
      <c r="A293" s="11" t="str">
        <f aca="false">IF(B293="","",ROW()-3)</f>
        <v/>
      </c>
      <c r="B293" s="12"/>
      <c r="C293" s="13"/>
      <c r="D293" s="14"/>
      <c r="E293" s="11"/>
      <c r="F293" s="15"/>
      <c r="G293" s="14"/>
      <c r="H293" s="15"/>
      <c r="I293" s="15"/>
      <c r="J293" s="16"/>
      <c r="K293" s="12"/>
      <c r="L293" s="12"/>
      <c r="M293" s="16"/>
      <c r="N293" s="12"/>
      <c r="O293" s="17"/>
      <c r="P293" s="16"/>
      <c r="Q293" s="12"/>
      <c r="R293" s="15"/>
      <c r="S293" s="16" t="str">
        <f aca="false">IF(B293="","",IF(M293="Desestimada","Cerrado - desestimada",IF(AND(M293="Aplicada",OR(P293="Pagada",P293="Incluida en expensas")),"Cerrado - multa cobrada",IF(M293="Aplicada","Multa aplicada - impaga",IF(L293&lt;&gt;"","Descargo respondido - a resolver",IF(J293="Sí","Esperando respuesta descargo","Pendiente enviar descargo"))))))</f>
        <v/>
      </c>
      <c r="T293" s="18" t="str">
        <f aca="true">IF(B293="","",TODAY()-B293)</f>
        <v/>
      </c>
    </row>
    <row r="294" customFormat="false" ht="15" hidden="false" customHeight="false" outlineLevel="0" collapsed="false">
      <c r="A294" s="11" t="str">
        <f aca="false">IF(B294="","",ROW()-3)</f>
        <v/>
      </c>
      <c r="B294" s="12"/>
      <c r="C294" s="13"/>
      <c r="D294" s="14"/>
      <c r="E294" s="11"/>
      <c r="F294" s="15"/>
      <c r="G294" s="14"/>
      <c r="H294" s="15"/>
      <c r="I294" s="15"/>
      <c r="J294" s="16"/>
      <c r="K294" s="12"/>
      <c r="L294" s="12"/>
      <c r="M294" s="16"/>
      <c r="N294" s="12"/>
      <c r="O294" s="17"/>
      <c r="P294" s="16"/>
      <c r="Q294" s="12"/>
      <c r="R294" s="15"/>
      <c r="S294" s="16" t="str">
        <f aca="false">IF(B294="","",IF(M294="Desestimada","Cerrado - desestimada",IF(AND(M294="Aplicada",OR(P294="Pagada",P294="Incluida en expensas")),"Cerrado - multa cobrada",IF(M294="Aplicada","Multa aplicada - impaga",IF(L294&lt;&gt;"","Descargo respondido - a resolver",IF(J294="Sí","Esperando respuesta descargo","Pendiente enviar descargo"))))))</f>
        <v/>
      </c>
      <c r="T294" s="18" t="str">
        <f aca="true">IF(B294="","",TODAY()-B294)</f>
        <v/>
      </c>
    </row>
    <row r="295" customFormat="false" ht="15" hidden="false" customHeight="false" outlineLevel="0" collapsed="false">
      <c r="A295" s="11" t="str">
        <f aca="false">IF(B295="","",ROW()-3)</f>
        <v/>
      </c>
      <c r="B295" s="12"/>
      <c r="C295" s="13"/>
      <c r="D295" s="14"/>
      <c r="E295" s="11"/>
      <c r="F295" s="15"/>
      <c r="G295" s="14"/>
      <c r="H295" s="15"/>
      <c r="I295" s="15"/>
      <c r="J295" s="16"/>
      <c r="K295" s="12"/>
      <c r="L295" s="12"/>
      <c r="M295" s="16"/>
      <c r="N295" s="12"/>
      <c r="O295" s="17"/>
      <c r="P295" s="16"/>
      <c r="Q295" s="12"/>
      <c r="R295" s="15"/>
      <c r="S295" s="16" t="str">
        <f aca="false">IF(B295="","",IF(M295="Desestimada","Cerrado - desestimada",IF(AND(M295="Aplicada",OR(P295="Pagada",P295="Incluida en expensas")),"Cerrado - multa cobrada",IF(M295="Aplicada","Multa aplicada - impaga",IF(L295&lt;&gt;"","Descargo respondido - a resolver",IF(J295="Sí","Esperando respuesta descargo","Pendiente enviar descargo"))))))</f>
        <v/>
      </c>
      <c r="T295" s="18" t="str">
        <f aca="true">IF(B295="","",TODAY()-B295)</f>
        <v/>
      </c>
    </row>
    <row r="296" customFormat="false" ht="15" hidden="false" customHeight="false" outlineLevel="0" collapsed="false">
      <c r="A296" s="11" t="str">
        <f aca="false">IF(B296="","",ROW()-3)</f>
        <v/>
      </c>
      <c r="B296" s="12"/>
      <c r="C296" s="13"/>
      <c r="D296" s="14"/>
      <c r="E296" s="11"/>
      <c r="F296" s="15"/>
      <c r="G296" s="14"/>
      <c r="H296" s="15"/>
      <c r="I296" s="15"/>
      <c r="J296" s="16"/>
      <c r="K296" s="12"/>
      <c r="L296" s="12"/>
      <c r="M296" s="16"/>
      <c r="N296" s="12"/>
      <c r="O296" s="17"/>
      <c r="P296" s="16"/>
      <c r="Q296" s="12"/>
      <c r="R296" s="15"/>
      <c r="S296" s="16" t="str">
        <f aca="false">IF(B296="","",IF(M296="Desestimada","Cerrado - desestimada",IF(AND(M296="Aplicada",OR(P296="Pagada",P296="Incluida en expensas")),"Cerrado - multa cobrada",IF(M296="Aplicada","Multa aplicada - impaga",IF(L296&lt;&gt;"","Descargo respondido - a resolver",IF(J296="Sí","Esperando respuesta descargo","Pendiente enviar descargo"))))))</f>
        <v/>
      </c>
      <c r="T296" s="18" t="str">
        <f aca="true">IF(B296="","",TODAY()-B296)</f>
        <v/>
      </c>
    </row>
    <row r="297" customFormat="false" ht="15" hidden="false" customHeight="false" outlineLevel="0" collapsed="false">
      <c r="A297" s="11" t="str">
        <f aca="false">IF(B297="","",ROW()-3)</f>
        <v/>
      </c>
      <c r="B297" s="12"/>
      <c r="C297" s="13"/>
      <c r="D297" s="14"/>
      <c r="E297" s="11"/>
      <c r="F297" s="15"/>
      <c r="G297" s="14"/>
      <c r="H297" s="15"/>
      <c r="I297" s="15"/>
      <c r="J297" s="16"/>
      <c r="K297" s="12"/>
      <c r="L297" s="12"/>
      <c r="M297" s="16"/>
      <c r="N297" s="12"/>
      <c r="O297" s="17"/>
      <c r="P297" s="16"/>
      <c r="Q297" s="12"/>
      <c r="R297" s="15"/>
      <c r="S297" s="16" t="str">
        <f aca="false">IF(B297="","",IF(M297="Desestimada","Cerrado - desestimada",IF(AND(M297="Aplicada",OR(P297="Pagada",P297="Incluida en expensas")),"Cerrado - multa cobrada",IF(M297="Aplicada","Multa aplicada - impaga",IF(L297&lt;&gt;"","Descargo respondido - a resolver",IF(J297="Sí","Esperando respuesta descargo","Pendiente enviar descargo"))))))</f>
        <v/>
      </c>
      <c r="T297" s="18" t="str">
        <f aca="true">IF(B297="","",TODAY()-B297)</f>
        <v/>
      </c>
    </row>
    <row r="298" customFormat="false" ht="15" hidden="false" customHeight="false" outlineLevel="0" collapsed="false">
      <c r="A298" s="11" t="str">
        <f aca="false">IF(B298="","",ROW()-3)</f>
        <v/>
      </c>
      <c r="B298" s="12"/>
      <c r="C298" s="13"/>
      <c r="D298" s="14"/>
      <c r="E298" s="11"/>
      <c r="F298" s="15"/>
      <c r="G298" s="14"/>
      <c r="H298" s="15"/>
      <c r="I298" s="15"/>
      <c r="J298" s="16"/>
      <c r="K298" s="12"/>
      <c r="L298" s="12"/>
      <c r="M298" s="16"/>
      <c r="N298" s="12"/>
      <c r="O298" s="17"/>
      <c r="P298" s="16"/>
      <c r="Q298" s="12"/>
      <c r="R298" s="15"/>
      <c r="S298" s="16" t="str">
        <f aca="false">IF(B298="","",IF(M298="Desestimada","Cerrado - desestimada",IF(AND(M298="Aplicada",OR(P298="Pagada",P298="Incluida en expensas")),"Cerrado - multa cobrada",IF(M298="Aplicada","Multa aplicada - impaga",IF(L298&lt;&gt;"","Descargo respondido - a resolver",IF(J298="Sí","Esperando respuesta descargo","Pendiente enviar descargo"))))))</f>
        <v/>
      </c>
      <c r="T298" s="18" t="str">
        <f aca="true">IF(B298="","",TODAY()-B298)</f>
        <v/>
      </c>
    </row>
    <row r="299" customFormat="false" ht="15" hidden="false" customHeight="false" outlineLevel="0" collapsed="false">
      <c r="A299" s="11" t="str">
        <f aca="false">IF(B299="","",ROW()-3)</f>
        <v/>
      </c>
      <c r="B299" s="12"/>
      <c r="C299" s="13"/>
      <c r="D299" s="14"/>
      <c r="E299" s="11"/>
      <c r="F299" s="15"/>
      <c r="G299" s="14"/>
      <c r="H299" s="15"/>
      <c r="I299" s="15"/>
      <c r="J299" s="16"/>
      <c r="K299" s="12"/>
      <c r="L299" s="12"/>
      <c r="M299" s="16"/>
      <c r="N299" s="12"/>
      <c r="O299" s="17"/>
      <c r="P299" s="16"/>
      <c r="Q299" s="12"/>
      <c r="R299" s="15"/>
      <c r="S299" s="16" t="str">
        <f aca="false">IF(B299="","",IF(M299="Desestimada","Cerrado - desestimada",IF(AND(M299="Aplicada",OR(P299="Pagada",P299="Incluida en expensas")),"Cerrado - multa cobrada",IF(M299="Aplicada","Multa aplicada - impaga",IF(L299&lt;&gt;"","Descargo respondido - a resolver",IF(J299="Sí","Esperando respuesta descargo","Pendiente enviar descargo"))))))</f>
        <v/>
      </c>
      <c r="T299" s="18" t="str">
        <f aca="true">IF(B299="","",TODAY()-B299)</f>
        <v/>
      </c>
    </row>
    <row r="300" customFormat="false" ht="15" hidden="false" customHeight="false" outlineLevel="0" collapsed="false">
      <c r="A300" s="11" t="str">
        <f aca="false">IF(B300="","",ROW()-3)</f>
        <v/>
      </c>
      <c r="B300" s="12"/>
      <c r="C300" s="13"/>
      <c r="D300" s="14"/>
      <c r="E300" s="11"/>
      <c r="F300" s="15"/>
      <c r="G300" s="14"/>
      <c r="H300" s="15"/>
      <c r="I300" s="15"/>
      <c r="J300" s="16"/>
      <c r="K300" s="12"/>
      <c r="L300" s="12"/>
      <c r="M300" s="16"/>
      <c r="N300" s="12"/>
      <c r="O300" s="17"/>
      <c r="P300" s="16"/>
      <c r="Q300" s="12"/>
      <c r="R300" s="15"/>
      <c r="S300" s="16" t="str">
        <f aca="false">IF(B300="","",IF(M300="Desestimada","Cerrado - desestimada",IF(AND(M300="Aplicada",OR(P300="Pagada",P300="Incluida en expensas")),"Cerrado - multa cobrada",IF(M300="Aplicada","Multa aplicada - impaga",IF(L300&lt;&gt;"","Descargo respondido - a resolver",IF(J300="Sí","Esperando respuesta descargo","Pendiente enviar descargo"))))))</f>
        <v/>
      </c>
      <c r="T300" s="18" t="str">
        <f aca="true">IF(B300="","",TODAY()-B300)</f>
        <v/>
      </c>
    </row>
    <row r="301" customFormat="false" ht="15" hidden="false" customHeight="false" outlineLevel="0" collapsed="false">
      <c r="A301" s="11" t="str">
        <f aca="false">IF(B301="","",ROW()-3)</f>
        <v/>
      </c>
      <c r="B301" s="12"/>
      <c r="C301" s="13"/>
      <c r="D301" s="14"/>
      <c r="E301" s="11"/>
      <c r="F301" s="15"/>
      <c r="G301" s="14"/>
      <c r="H301" s="15"/>
      <c r="I301" s="15"/>
      <c r="J301" s="16"/>
      <c r="K301" s="12"/>
      <c r="L301" s="12"/>
      <c r="M301" s="16"/>
      <c r="N301" s="12"/>
      <c r="O301" s="17"/>
      <c r="P301" s="16"/>
      <c r="Q301" s="12"/>
      <c r="R301" s="15"/>
      <c r="S301" s="16" t="str">
        <f aca="false">IF(B301="","",IF(M301="Desestimada","Cerrado - desestimada",IF(AND(M301="Aplicada",OR(P301="Pagada",P301="Incluida en expensas")),"Cerrado - multa cobrada",IF(M301="Aplicada","Multa aplicada - impaga",IF(L301&lt;&gt;"","Descargo respondido - a resolver",IF(J301="Sí","Esperando respuesta descargo","Pendiente enviar descargo"))))))</f>
        <v/>
      </c>
      <c r="T301" s="18" t="str">
        <f aca="true">IF(B301="","",TODAY()-B301)</f>
        <v/>
      </c>
    </row>
    <row r="302" customFormat="false" ht="15" hidden="false" customHeight="false" outlineLevel="0" collapsed="false">
      <c r="A302" s="11" t="str">
        <f aca="false">IF(B302="","",ROW()-3)</f>
        <v/>
      </c>
      <c r="B302" s="12"/>
      <c r="C302" s="13"/>
      <c r="D302" s="14"/>
      <c r="E302" s="11"/>
      <c r="F302" s="15"/>
      <c r="G302" s="14"/>
      <c r="H302" s="15"/>
      <c r="I302" s="15"/>
      <c r="J302" s="16"/>
      <c r="K302" s="12"/>
      <c r="L302" s="12"/>
      <c r="M302" s="16"/>
      <c r="N302" s="12"/>
      <c r="O302" s="17"/>
      <c r="P302" s="16"/>
      <c r="Q302" s="12"/>
      <c r="R302" s="15"/>
      <c r="S302" s="16" t="str">
        <f aca="false">IF(B302="","",IF(M302="Desestimada","Cerrado - desestimada",IF(AND(M302="Aplicada",OR(P302="Pagada",P302="Incluida en expensas")),"Cerrado - multa cobrada",IF(M302="Aplicada","Multa aplicada - impaga",IF(L302&lt;&gt;"","Descargo respondido - a resolver",IF(J302="Sí","Esperando respuesta descargo","Pendiente enviar descargo"))))))</f>
        <v/>
      </c>
      <c r="T302" s="18" t="str">
        <f aca="true">IF(B302="","",TODAY()-B302)</f>
        <v/>
      </c>
    </row>
    <row r="303" customFormat="false" ht="15" hidden="false" customHeight="false" outlineLevel="0" collapsed="false">
      <c r="A303" s="11" t="str">
        <f aca="false">IF(B303="","",ROW()-3)</f>
        <v/>
      </c>
      <c r="B303" s="12"/>
      <c r="C303" s="13"/>
      <c r="D303" s="14"/>
      <c r="E303" s="11"/>
      <c r="F303" s="15"/>
      <c r="G303" s="14"/>
      <c r="H303" s="15"/>
      <c r="I303" s="15"/>
      <c r="J303" s="16"/>
      <c r="K303" s="12"/>
      <c r="L303" s="12"/>
      <c r="M303" s="16"/>
      <c r="N303" s="12"/>
      <c r="O303" s="17"/>
      <c r="P303" s="16"/>
      <c r="Q303" s="12"/>
      <c r="R303" s="15"/>
      <c r="S303" s="16" t="str">
        <f aca="false">IF(B303="","",IF(M303="Desestimada","Cerrado - desestimada",IF(AND(M303="Aplicada",OR(P303="Pagada",P303="Incluida en expensas")),"Cerrado - multa cobrada",IF(M303="Aplicada","Multa aplicada - impaga",IF(L303&lt;&gt;"","Descargo respondido - a resolver",IF(J303="Sí","Esperando respuesta descargo","Pendiente enviar descargo"))))))</f>
        <v/>
      </c>
      <c r="T303" s="18" t="str">
        <f aca="true">IF(B303="","",TODAY()-B303)</f>
        <v/>
      </c>
    </row>
    <row r="304" customFormat="false" ht="15" hidden="false" customHeight="false" outlineLevel="0" collapsed="false">
      <c r="A304" s="11" t="str">
        <f aca="false">IF(B304="","",ROW()-3)</f>
        <v/>
      </c>
      <c r="B304" s="12"/>
      <c r="C304" s="13"/>
      <c r="D304" s="14"/>
      <c r="E304" s="11"/>
      <c r="F304" s="15"/>
      <c r="G304" s="14"/>
      <c r="H304" s="15"/>
      <c r="I304" s="15"/>
      <c r="J304" s="16"/>
      <c r="K304" s="12"/>
      <c r="L304" s="12"/>
      <c r="M304" s="16"/>
      <c r="N304" s="12"/>
      <c r="O304" s="17"/>
      <c r="P304" s="16"/>
      <c r="Q304" s="12"/>
      <c r="R304" s="15"/>
      <c r="S304" s="16" t="str">
        <f aca="false">IF(B304="","",IF(M304="Desestimada","Cerrado - desestimada",IF(AND(M304="Aplicada",OR(P304="Pagada",P304="Incluida en expensas")),"Cerrado - multa cobrada",IF(M304="Aplicada","Multa aplicada - impaga",IF(L304&lt;&gt;"","Descargo respondido - a resolver",IF(J304="Sí","Esperando respuesta descargo","Pendiente enviar descargo"))))))</f>
        <v/>
      </c>
      <c r="T304" s="18" t="str">
        <f aca="true">IF(B304="","",TODAY()-B304)</f>
        <v/>
      </c>
    </row>
    <row r="305" customFormat="false" ht="15" hidden="false" customHeight="false" outlineLevel="0" collapsed="false">
      <c r="A305" s="11" t="str">
        <f aca="false">IF(B305="","",ROW()-3)</f>
        <v/>
      </c>
      <c r="B305" s="12"/>
      <c r="C305" s="13"/>
      <c r="D305" s="14"/>
      <c r="E305" s="11"/>
      <c r="F305" s="15"/>
      <c r="G305" s="14"/>
      <c r="H305" s="15"/>
      <c r="I305" s="15"/>
      <c r="J305" s="16"/>
      <c r="K305" s="12"/>
      <c r="L305" s="12"/>
      <c r="M305" s="16"/>
      <c r="N305" s="12"/>
      <c r="O305" s="17"/>
      <c r="P305" s="16"/>
      <c r="Q305" s="12"/>
      <c r="R305" s="15"/>
      <c r="S305" s="16" t="str">
        <f aca="false">IF(B305="","",IF(M305="Desestimada","Cerrado - desestimada",IF(AND(M305="Aplicada",OR(P305="Pagada",P305="Incluida en expensas")),"Cerrado - multa cobrada",IF(M305="Aplicada","Multa aplicada - impaga",IF(L305&lt;&gt;"","Descargo respondido - a resolver",IF(J305="Sí","Esperando respuesta descargo","Pendiente enviar descargo"))))))</f>
        <v/>
      </c>
      <c r="T305" s="18" t="str">
        <f aca="true">IF(B305="","",TODAY()-B305)</f>
        <v/>
      </c>
    </row>
    <row r="306" customFormat="false" ht="15" hidden="false" customHeight="false" outlineLevel="0" collapsed="false">
      <c r="A306" s="11" t="str">
        <f aca="false">IF(B306="","",ROW()-3)</f>
        <v/>
      </c>
      <c r="B306" s="12"/>
      <c r="C306" s="13"/>
      <c r="D306" s="14"/>
      <c r="E306" s="11"/>
      <c r="F306" s="15"/>
      <c r="G306" s="14"/>
      <c r="H306" s="15"/>
      <c r="I306" s="15"/>
      <c r="J306" s="16"/>
      <c r="K306" s="12"/>
      <c r="L306" s="12"/>
      <c r="M306" s="16"/>
      <c r="N306" s="12"/>
      <c r="O306" s="17"/>
      <c r="P306" s="16"/>
      <c r="Q306" s="12"/>
      <c r="R306" s="15"/>
      <c r="S306" s="16" t="str">
        <f aca="false">IF(B306="","",IF(M306="Desestimada","Cerrado - desestimada",IF(AND(M306="Aplicada",OR(P306="Pagada",P306="Incluida en expensas")),"Cerrado - multa cobrada",IF(M306="Aplicada","Multa aplicada - impaga",IF(L306&lt;&gt;"","Descargo respondido - a resolver",IF(J306="Sí","Esperando respuesta descargo","Pendiente enviar descargo"))))))</f>
        <v/>
      </c>
      <c r="T306" s="18" t="str">
        <f aca="true">IF(B306="","",TODAY()-B306)</f>
        <v/>
      </c>
    </row>
    <row r="307" customFormat="false" ht="15" hidden="false" customHeight="false" outlineLevel="0" collapsed="false">
      <c r="A307" s="11" t="str">
        <f aca="false">IF(B307="","",ROW()-3)</f>
        <v/>
      </c>
      <c r="B307" s="12"/>
      <c r="C307" s="13"/>
      <c r="D307" s="14"/>
      <c r="E307" s="11"/>
      <c r="F307" s="15"/>
      <c r="G307" s="14"/>
      <c r="H307" s="15"/>
      <c r="I307" s="15"/>
      <c r="J307" s="16"/>
      <c r="K307" s="12"/>
      <c r="L307" s="12"/>
      <c r="M307" s="16"/>
      <c r="N307" s="12"/>
      <c r="O307" s="17"/>
      <c r="P307" s="16"/>
      <c r="Q307" s="12"/>
      <c r="R307" s="15"/>
      <c r="S307" s="16" t="str">
        <f aca="false">IF(B307="","",IF(M307="Desestimada","Cerrado - desestimada",IF(AND(M307="Aplicada",OR(P307="Pagada",P307="Incluida en expensas")),"Cerrado - multa cobrada",IF(M307="Aplicada","Multa aplicada - impaga",IF(L307&lt;&gt;"","Descargo respondido - a resolver",IF(J307="Sí","Esperando respuesta descargo","Pendiente enviar descargo"))))))</f>
        <v/>
      </c>
      <c r="T307" s="18" t="str">
        <f aca="true">IF(B307="","",TODAY()-B307)</f>
        <v/>
      </c>
    </row>
    <row r="308" customFormat="false" ht="15" hidden="false" customHeight="false" outlineLevel="0" collapsed="false">
      <c r="A308" s="11" t="str">
        <f aca="false">IF(B308="","",ROW()-3)</f>
        <v/>
      </c>
      <c r="B308" s="12"/>
      <c r="C308" s="13"/>
      <c r="D308" s="14"/>
      <c r="E308" s="11"/>
      <c r="F308" s="15"/>
      <c r="G308" s="14"/>
      <c r="H308" s="15"/>
      <c r="I308" s="15"/>
      <c r="J308" s="16"/>
      <c r="K308" s="12"/>
      <c r="L308" s="12"/>
      <c r="M308" s="16"/>
      <c r="N308" s="12"/>
      <c r="O308" s="17"/>
      <c r="P308" s="16"/>
      <c r="Q308" s="12"/>
      <c r="R308" s="15"/>
      <c r="S308" s="16" t="str">
        <f aca="false">IF(B308="","",IF(M308="Desestimada","Cerrado - desestimada",IF(AND(M308="Aplicada",OR(P308="Pagada",P308="Incluida en expensas")),"Cerrado - multa cobrada",IF(M308="Aplicada","Multa aplicada - impaga",IF(L308&lt;&gt;"","Descargo respondido - a resolver",IF(J308="Sí","Esperando respuesta descargo","Pendiente enviar descargo"))))))</f>
        <v/>
      </c>
      <c r="T308" s="18" t="str">
        <f aca="true">IF(B308="","",TODAY()-B308)</f>
        <v/>
      </c>
    </row>
    <row r="309" customFormat="false" ht="15" hidden="false" customHeight="false" outlineLevel="0" collapsed="false">
      <c r="A309" s="11" t="str">
        <f aca="false">IF(B309="","",ROW()-3)</f>
        <v/>
      </c>
      <c r="B309" s="12"/>
      <c r="C309" s="13"/>
      <c r="D309" s="14"/>
      <c r="E309" s="11"/>
      <c r="F309" s="15"/>
      <c r="G309" s="14"/>
      <c r="H309" s="15"/>
      <c r="I309" s="15"/>
      <c r="J309" s="16"/>
      <c r="K309" s="12"/>
      <c r="L309" s="12"/>
      <c r="M309" s="16"/>
      <c r="N309" s="12"/>
      <c r="O309" s="17"/>
      <c r="P309" s="16"/>
      <c r="Q309" s="12"/>
      <c r="R309" s="15"/>
      <c r="S309" s="16" t="str">
        <f aca="false">IF(B309="","",IF(M309="Desestimada","Cerrado - desestimada",IF(AND(M309="Aplicada",OR(P309="Pagada",P309="Incluida en expensas")),"Cerrado - multa cobrada",IF(M309="Aplicada","Multa aplicada - impaga",IF(L309&lt;&gt;"","Descargo respondido - a resolver",IF(J309="Sí","Esperando respuesta descargo","Pendiente enviar descargo"))))))</f>
        <v/>
      </c>
      <c r="T309" s="18" t="str">
        <f aca="true">IF(B309="","",TODAY()-B309)</f>
        <v/>
      </c>
    </row>
    <row r="310" customFormat="false" ht="15" hidden="false" customHeight="false" outlineLevel="0" collapsed="false">
      <c r="A310" s="11" t="str">
        <f aca="false">IF(B310="","",ROW()-3)</f>
        <v/>
      </c>
      <c r="B310" s="12"/>
      <c r="C310" s="13"/>
      <c r="D310" s="14"/>
      <c r="E310" s="11"/>
      <c r="F310" s="15"/>
      <c r="G310" s="14"/>
      <c r="H310" s="15"/>
      <c r="I310" s="15"/>
      <c r="J310" s="16"/>
      <c r="K310" s="12"/>
      <c r="L310" s="12"/>
      <c r="M310" s="16"/>
      <c r="N310" s="12"/>
      <c r="O310" s="17"/>
      <c r="P310" s="16"/>
      <c r="Q310" s="12"/>
      <c r="R310" s="15"/>
      <c r="S310" s="16" t="str">
        <f aca="false">IF(B310="","",IF(M310="Desestimada","Cerrado - desestimada",IF(AND(M310="Aplicada",OR(P310="Pagada",P310="Incluida en expensas")),"Cerrado - multa cobrada",IF(M310="Aplicada","Multa aplicada - impaga",IF(L310&lt;&gt;"","Descargo respondido - a resolver",IF(J310="Sí","Esperando respuesta descargo","Pendiente enviar descargo"))))))</f>
        <v/>
      </c>
      <c r="T310" s="18" t="str">
        <f aca="true">IF(B310="","",TODAY()-B310)</f>
        <v/>
      </c>
    </row>
    <row r="311" customFormat="false" ht="15" hidden="false" customHeight="false" outlineLevel="0" collapsed="false">
      <c r="A311" s="11" t="str">
        <f aca="false">IF(B311="","",ROW()-3)</f>
        <v/>
      </c>
      <c r="B311" s="12"/>
      <c r="C311" s="13"/>
      <c r="D311" s="14"/>
      <c r="E311" s="11"/>
      <c r="F311" s="15"/>
      <c r="G311" s="14"/>
      <c r="H311" s="15"/>
      <c r="I311" s="15"/>
      <c r="J311" s="16"/>
      <c r="K311" s="12"/>
      <c r="L311" s="12"/>
      <c r="M311" s="16"/>
      <c r="N311" s="12"/>
      <c r="O311" s="17"/>
      <c r="P311" s="16"/>
      <c r="Q311" s="12"/>
      <c r="R311" s="15"/>
      <c r="S311" s="16" t="str">
        <f aca="false">IF(B311="","",IF(M311="Desestimada","Cerrado - desestimada",IF(AND(M311="Aplicada",OR(P311="Pagada",P311="Incluida en expensas")),"Cerrado - multa cobrada",IF(M311="Aplicada","Multa aplicada - impaga",IF(L311&lt;&gt;"","Descargo respondido - a resolver",IF(J311="Sí","Esperando respuesta descargo","Pendiente enviar descargo"))))))</f>
        <v/>
      </c>
      <c r="T311" s="18" t="str">
        <f aca="true">IF(B311="","",TODAY()-B311)</f>
        <v/>
      </c>
    </row>
    <row r="312" customFormat="false" ht="15" hidden="false" customHeight="false" outlineLevel="0" collapsed="false">
      <c r="A312" s="11" t="str">
        <f aca="false">IF(B312="","",ROW()-3)</f>
        <v/>
      </c>
      <c r="B312" s="12"/>
      <c r="C312" s="13"/>
      <c r="D312" s="14"/>
      <c r="E312" s="11"/>
      <c r="F312" s="15"/>
      <c r="G312" s="14"/>
      <c r="H312" s="15"/>
      <c r="I312" s="15"/>
      <c r="J312" s="16"/>
      <c r="K312" s="12"/>
      <c r="L312" s="12"/>
      <c r="M312" s="16"/>
      <c r="N312" s="12"/>
      <c r="O312" s="17"/>
      <c r="P312" s="16"/>
      <c r="Q312" s="12"/>
      <c r="R312" s="15"/>
      <c r="S312" s="16" t="str">
        <f aca="false">IF(B312="","",IF(M312="Desestimada","Cerrado - desestimada",IF(AND(M312="Aplicada",OR(P312="Pagada",P312="Incluida en expensas")),"Cerrado - multa cobrada",IF(M312="Aplicada","Multa aplicada - impaga",IF(L312&lt;&gt;"","Descargo respondido - a resolver",IF(J312="Sí","Esperando respuesta descargo","Pendiente enviar descargo"))))))</f>
        <v/>
      </c>
      <c r="T312" s="18" t="str">
        <f aca="true">IF(B312="","",TODAY()-B312)</f>
        <v/>
      </c>
    </row>
    <row r="313" customFormat="false" ht="15" hidden="false" customHeight="false" outlineLevel="0" collapsed="false">
      <c r="A313" s="11" t="str">
        <f aca="false">IF(B313="","",ROW()-3)</f>
        <v/>
      </c>
      <c r="B313" s="12"/>
      <c r="C313" s="13"/>
      <c r="D313" s="14"/>
      <c r="E313" s="11"/>
      <c r="F313" s="15"/>
      <c r="G313" s="14"/>
      <c r="H313" s="15"/>
      <c r="I313" s="15"/>
      <c r="J313" s="16"/>
      <c r="K313" s="12"/>
      <c r="L313" s="12"/>
      <c r="M313" s="16"/>
      <c r="N313" s="12"/>
      <c r="O313" s="17"/>
      <c r="P313" s="16"/>
      <c r="Q313" s="12"/>
      <c r="R313" s="15"/>
      <c r="S313" s="16" t="str">
        <f aca="false">IF(B313="","",IF(M313="Desestimada","Cerrado - desestimada",IF(AND(M313="Aplicada",OR(P313="Pagada",P313="Incluida en expensas")),"Cerrado - multa cobrada",IF(M313="Aplicada","Multa aplicada - impaga",IF(L313&lt;&gt;"","Descargo respondido - a resolver",IF(J313="Sí","Esperando respuesta descargo","Pendiente enviar descargo"))))))</f>
        <v/>
      </c>
      <c r="T313" s="18" t="str">
        <f aca="true">IF(B313="","",TODAY()-B313)</f>
        <v/>
      </c>
    </row>
    <row r="314" customFormat="false" ht="15" hidden="false" customHeight="false" outlineLevel="0" collapsed="false">
      <c r="A314" s="11" t="str">
        <f aca="false">IF(B314="","",ROW()-3)</f>
        <v/>
      </c>
      <c r="B314" s="12"/>
      <c r="C314" s="13"/>
      <c r="D314" s="14"/>
      <c r="E314" s="11"/>
      <c r="F314" s="15"/>
      <c r="G314" s="14"/>
      <c r="H314" s="15"/>
      <c r="I314" s="15"/>
      <c r="J314" s="16"/>
      <c r="K314" s="12"/>
      <c r="L314" s="12"/>
      <c r="M314" s="16"/>
      <c r="N314" s="12"/>
      <c r="O314" s="17"/>
      <c r="P314" s="16"/>
      <c r="Q314" s="12"/>
      <c r="R314" s="15"/>
      <c r="S314" s="16" t="str">
        <f aca="false">IF(B314="","",IF(M314="Desestimada","Cerrado - desestimada",IF(AND(M314="Aplicada",OR(P314="Pagada",P314="Incluida en expensas")),"Cerrado - multa cobrada",IF(M314="Aplicada","Multa aplicada - impaga",IF(L314&lt;&gt;"","Descargo respondido - a resolver",IF(J314="Sí","Esperando respuesta descargo","Pendiente enviar descargo"))))))</f>
        <v/>
      </c>
      <c r="T314" s="18" t="str">
        <f aca="true">IF(B314="","",TODAY()-B314)</f>
        <v/>
      </c>
    </row>
    <row r="315" customFormat="false" ht="15" hidden="false" customHeight="false" outlineLevel="0" collapsed="false">
      <c r="A315" s="11" t="str">
        <f aca="false">IF(B315="","",ROW()-3)</f>
        <v/>
      </c>
      <c r="B315" s="12"/>
      <c r="C315" s="13"/>
      <c r="D315" s="14"/>
      <c r="E315" s="11"/>
      <c r="F315" s="15"/>
      <c r="G315" s="14"/>
      <c r="H315" s="15"/>
      <c r="I315" s="15"/>
      <c r="J315" s="16"/>
      <c r="K315" s="12"/>
      <c r="L315" s="12"/>
      <c r="M315" s="16"/>
      <c r="N315" s="12"/>
      <c r="O315" s="17"/>
      <c r="P315" s="16"/>
      <c r="Q315" s="12"/>
      <c r="R315" s="15"/>
      <c r="S315" s="16" t="str">
        <f aca="false">IF(B315="","",IF(M315="Desestimada","Cerrado - desestimada",IF(AND(M315="Aplicada",OR(P315="Pagada",P315="Incluida en expensas")),"Cerrado - multa cobrada",IF(M315="Aplicada","Multa aplicada - impaga",IF(L315&lt;&gt;"","Descargo respondido - a resolver",IF(J315="Sí","Esperando respuesta descargo","Pendiente enviar descargo"))))))</f>
        <v/>
      </c>
      <c r="T315" s="18" t="str">
        <f aca="true">IF(B315="","",TODAY()-B315)</f>
        <v/>
      </c>
    </row>
    <row r="316" customFormat="false" ht="15" hidden="false" customHeight="false" outlineLevel="0" collapsed="false">
      <c r="A316" s="11" t="str">
        <f aca="false">IF(B316="","",ROW()-3)</f>
        <v/>
      </c>
      <c r="B316" s="12"/>
      <c r="C316" s="13"/>
      <c r="D316" s="14"/>
      <c r="E316" s="11"/>
      <c r="F316" s="15"/>
      <c r="G316" s="14"/>
      <c r="H316" s="15"/>
      <c r="I316" s="15"/>
      <c r="J316" s="16"/>
      <c r="K316" s="12"/>
      <c r="L316" s="12"/>
      <c r="M316" s="16"/>
      <c r="N316" s="12"/>
      <c r="O316" s="17"/>
      <c r="P316" s="16"/>
      <c r="Q316" s="12"/>
      <c r="R316" s="15"/>
      <c r="S316" s="16" t="str">
        <f aca="false">IF(B316="","",IF(M316="Desestimada","Cerrado - desestimada",IF(AND(M316="Aplicada",OR(P316="Pagada",P316="Incluida en expensas")),"Cerrado - multa cobrada",IF(M316="Aplicada","Multa aplicada - impaga",IF(L316&lt;&gt;"","Descargo respondido - a resolver",IF(J316="Sí","Esperando respuesta descargo","Pendiente enviar descargo"))))))</f>
        <v/>
      </c>
      <c r="T316" s="18" t="str">
        <f aca="true">IF(B316="","",TODAY()-B316)</f>
        <v/>
      </c>
    </row>
    <row r="317" customFormat="false" ht="15" hidden="false" customHeight="false" outlineLevel="0" collapsed="false">
      <c r="A317" s="11" t="str">
        <f aca="false">IF(B317="","",ROW()-3)</f>
        <v/>
      </c>
      <c r="B317" s="12"/>
      <c r="C317" s="13"/>
      <c r="D317" s="14"/>
      <c r="E317" s="11"/>
      <c r="F317" s="15"/>
      <c r="G317" s="14"/>
      <c r="H317" s="15"/>
      <c r="I317" s="15"/>
      <c r="J317" s="16"/>
      <c r="K317" s="12"/>
      <c r="L317" s="12"/>
      <c r="M317" s="16"/>
      <c r="N317" s="12"/>
      <c r="O317" s="17"/>
      <c r="P317" s="16"/>
      <c r="Q317" s="12"/>
      <c r="R317" s="15"/>
      <c r="S317" s="16" t="str">
        <f aca="false">IF(B317="","",IF(M317="Desestimada","Cerrado - desestimada",IF(AND(M317="Aplicada",OR(P317="Pagada",P317="Incluida en expensas")),"Cerrado - multa cobrada",IF(M317="Aplicada","Multa aplicada - impaga",IF(L317&lt;&gt;"","Descargo respondido - a resolver",IF(J317="Sí","Esperando respuesta descargo","Pendiente enviar descargo"))))))</f>
        <v/>
      </c>
      <c r="T317" s="18" t="str">
        <f aca="true">IF(B317="","",TODAY()-B317)</f>
        <v/>
      </c>
    </row>
    <row r="318" customFormat="false" ht="15" hidden="false" customHeight="false" outlineLevel="0" collapsed="false">
      <c r="A318" s="11" t="str">
        <f aca="false">IF(B318="","",ROW()-3)</f>
        <v/>
      </c>
      <c r="B318" s="12"/>
      <c r="C318" s="13"/>
      <c r="D318" s="14"/>
      <c r="E318" s="11"/>
      <c r="F318" s="15"/>
      <c r="G318" s="14"/>
      <c r="H318" s="15"/>
      <c r="I318" s="15"/>
      <c r="J318" s="16"/>
      <c r="K318" s="12"/>
      <c r="L318" s="12"/>
      <c r="M318" s="16"/>
      <c r="N318" s="12"/>
      <c r="O318" s="17"/>
      <c r="P318" s="16"/>
      <c r="Q318" s="12"/>
      <c r="R318" s="15"/>
      <c r="S318" s="16" t="str">
        <f aca="false">IF(B318="","",IF(M318="Desestimada","Cerrado - desestimada",IF(AND(M318="Aplicada",OR(P318="Pagada",P318="Incluida en expensas")),"Cerrado - multa cobrada",IF(M318="Aplicada","Multa aplicada - impaga",IF(L318&lt;&gt;"","Descargo respondido - a resolver",IF(J318="Sí","Esperando respuesta descargo","Pendiente enviar descargo"))))))</f>
        <v/>
      </c>
      <c r="T318" s="18" t="str">
        <f aca="true">IF(B318="","",TODAY()-B318)</f>
        <v/>
      </c>
    </row>
    <row r="319" customFormat="false" ht="15" hidden="false" customHeight="false" outlineLevel="0" collapsed="false">
      <c r="A319" s="11" t="str">
        <f aca="false">IF(B319="","",ROW()-3)</f>
        <v/>
      </c>
      <c r="B319" s="12"/>
      <c r="C319" s="13"/>
      <c r="D319" s="14"/>
      <c r="E319" s="11"/>
      <c r="F319" s="15"/>
      <c r="G319" s="14"/>
      <c r="H319" s="15"/>
      <c r="I319" s="15"/>
      <c r="J319" s="16"/>
      <c r="K319" s="12"/>
      <c r="L319" s="12"/>
      <c r="M319" s="16"/>
      <c r="N319" s="12"/>
      <c r="O319" s="17"/>
      <c r="P319" s="16"/>
      <c r="Q319" s="12"/>
      <c r="R319" s="15"/>
      <c r="S319" s="16" t="str">
        <f aca="false">IF(B319="","",IF(M319="Desestimada","Cerrado - desestimada",IF(AND(M319="Aplicada",OR(P319="Pagada",P319="Incluida en expensas")),"Cerrado - multa cobrada",IF(M319="Aplicada","Multa aplicada - impaga",IF(L319&lt;&gt;"","Descargo respondido - a resolver",IF(J319="Sí","Esperando respuesta descargo","Pendiente enviar descargo"))))))</f>
        <v/>
      </c>
      <c r="T319" s="18" t="str">
        <f aca="true">IF(B319="","",TODAY()-B319)</f>
        <v/>
      </c>
    </row>
    <row r="320" customFormat="false" ht="15" hidden="false" customHeight="false" outlineLevel="0" collapsed="false">
      <c r="A320" s="11" t="str">
        <f aca="false">IF(B320="","",ROW()-3)</f>
        <v/>
      </c>
      <c r="B320" s="12"/>
      <c r="C320" s="13"/>
      <c r="D320" s="14"/>
      <c r="E320" s="11"/>
      <c r="F320" s="15"/>
      <c r="G320" s="14"/>
      <c r="H320" s="15"/>
      <c r="I320" s="15"/>
      <c r="J320" s="16"/>
      <c r="K320" s="12"/>
      <c r="L320" s="12"/>
      <c r="M320" s="16"/>
      <c r="N320" s="12"/>
      <c r="O320" s="17"/>
      <c r="P320" s="16"/>
      <c r="Q320" s="12"/>
      <c r="R320" s="15"/>
      <c r="S320" s="16" t="str">
        <f aca="false">IF(B320="","",IF(M320="Desestimada","Cerrado - desestimada",IF(AND(M320="Aplicada",OR(P320="Pagada",P320="Incluida en expensas")),"Cerrado - multa cobrada",IF(M320="Aplicada","Multa aplicada - impaga",IF(L320&lt;&gt;"","Descargo respondido - a resolver",IF(J320="Sí","Esperando respuesta descargo","Pendiente enviar descargo"))))))</f>
        <v/>
      </c>
      <c r="T320" s="18" t="str">
        <f aca="true">IF(B320="","",TODAY()-B320)</f>
        <v/>
      </c>
    </row>
    <row r="321" customFormat="false" ht="15" hidden="false" customHeight="false" outlineLevel="0" collapsed="false">
      <c r="A321" s="11" t="str">
        <f aca="false">IF(B321="","",ROW()-3)</f>
        <v/>
      </c>
      <c r="B321" s="12"/>
      <c r="C321" s="13"/>
      <c r="D321" s="14"/>
      <c r="E321" s="11"/>
      <c r="F321" s="15"/>
      <c r="G321" s="14"/>
      <c r="H321" s="15"/>
      <c r="I321" s="15"/>
      <c r="J321" s="16"/>
      <c r="K321" s="12"/>
      <c r="L321" s="12"/>
      <c r="M321" s="16"/>
      <c r="N321" s="12"/>
      <c r="O321" s="17"/>
      <c r="P321" s="16"/>
      <c r="Q321" s="12"/>
      <c r="R321" s="15"/>
      <c r="S321" s="16" t="str">
        <f aca="false">IF(B321="","",IF(M321="Desestimada","Cerrado - desestimada",IF(AND(M321="Aplicada",OR(P321="Pagada",P321="Incluida en expensas")),"Cerrado - multa cobrada",IF(M321="Aplicada","Multa aplicada - impaga",IF(L321&lt;&gt;"","Descargo respondido - a resolver",IF(J321="Sí","Esperando respuesta descargo","Pendiente enviar descargo"))))))</f>
        <v/>
      </c>
      <c r="T321" s="18" t="str">
        <f aca="true">IF(B321="","",TODAY()-B321)</f>
        <v/>
      </c>
    </row>
    <row r="322" customFormat="false" ht="15" hidden="false" customHeight="false" outlineLevel="0" collapsed="false">
      <c r="A322" s="11" t="str">
        <f aca="false">IF(B322="","",ROW()-3)</f>
        <v/>
      </c>
      <c r="B322" s="12"/>
      <c r="C322" s="13"/>
      <c r="D322" s="14"/>
      <c r="E322" s="11"/>
      <c r="F322" s="15"/>
      <c r="G322" s="14"/>
      <c r="H322" s="15"/>
      <c r="I322" s="15"/>
      <c r="J322" s="16"/>
      <c r="K322" s="12"/>
      <c r="L322" s="12"/>
      <c r="M322" s="16"/>
      <c r="N322" s="12"/>
      <c r="O322" s="17"/>
      <c r="P322" s="16"/>
      <c r="Q322" s="12"/>
      <c r="R322" s="15"/>
      <c r="S322" s="16" t="str">
        <f aca="false">IF(B322="","",IF(M322="Desestimada","Cerrado - desestimada",IF(AND(M322="Aplicada",OR(P322="Pagada",P322="Incluida en expensas")),"Cerrado - multa cobrada",IF(M322="Aplicada","Multa aplicada - impaga",IF(L322&lt;&gt;"","Descargo respondido - a resolver",IF(J322="Sí","Esperando respuesta descargo","Pendiente enviar descargo"))))))</f>
        <v/>
      </c>
      <c r="T322" s="18" t="str">
        <f aca="true">IF(B322="","",TODAY()-B322)</f>
        <v/>
      </c>
    </row>
    <row r="323" customFormat="false" ht="15" hidden="false" customHeight="false" outlineLevel="0" collapsed="false">
      <c r="A323" s="11" t="str">
        <f aca="false">IF(B323="","",ROW()-3)</f>
        <v/>
      </c>
      <c r="B323" s="12"/>
      <c r="C323" s="13"/>
      <c r="D323" s="14"/>
      <c r="E323" s="11"/>
      <c r="F323" s="15"/>
      <c r="G323" s="14"/>
      <c r="H323" s="15"/>
      <c r="I323" s="15"/>
      <c r="J323" s="16"/>
      <c r="K323" s="12"/>
      <c r="L323" s="12"/>
      <c r="M323" s="16"/>
      <c r="N323" s="12"/>
      <c r="O323" s="17"/>
      <c r="P323" s="16"/>
      <c r="Q323" s="12"/>
      <c r="R323" s="15"/>
      <c r="S323" s="16" t="str">
        <f aca="false">IF(B323="","",IF(M323="Desestimada","Cerrado - desestimada",IF(AND(M323="Aplicada",OR(P323="Pagada",P323="Incluida en expensas")),"Cerrado - multa cobrada",IF(M323="Aplicada","Multa aplicada - impaga",IF(L323&lt;&gt;"","Descargo respondido - a resolver",IF(J323="Sí","Esperando respuesta descargo","Pendiente enviar descargo"))))))</f>
        <v/>
      </c>
      <c r="T323" s="18" t="str">
        <f aca="true">IF(B323="","",TODAY()-B323)</f>
        <v/>
      </c>
    </row>
    <row r="324" customFormat="false" ht="15" hidden="false" customHeight="false" outlineLevel="0" collapsed="false">
      <c r="A324" s="11" t="str">
        <f aca="false">IF(B324="","",ROW()-3)</f>
        <v/>
      </c>
      <c r="B324" s="12"/>
      <c r="C324" s="13"/>
      <c r="D324" s="14"/>
      <c r="E324" s="11"/>
      <c r="F324" s="15"/>
      <c r="G324" s="14"/>
      <c r="H324" s="15"/>
      <c r="I324" s="15"/>
      <c r="J324" s="16"/>
      <c r="K324" s="12"/>
      <c r="L324" s="12"/>
      <c r="M324" s="16"/>
      <c r="N324" s="12"/>
      <c r="O324" s="17"/>
      <c r="P324" s="16"/>
      <c r="Q324" s="12"/>
      <c r="R324" s="15"/>
      <c r="S324" s="16" t="str">
        <f aca="false">IF(B324="","",IF(M324="Desestimada","Cerrado - desestimada",IF(AND(M324="Aplicada",OR(P324="Pagada",P324="Incluida en expensas")),"Cerrado - multa cobrada",IF(M324="Aplicada","Multa aplicada - impaga",IF(L324&lt;&gt;"","Descargo respondido - a resolver",IF(J324="Sí","Esperando respuesta descargo","Pendiente enviar descargo"))))))</f>
        <v/>
      </c>
      <c r="T324" s="18" t="str">
        <f aca="true">IF(B324="","",TODAY()-B324)</f>
        <v/>
      </c>
    </row>
    <row r="325" customFormat="false" ht="15" hidden="false" customHeight="false" outlineLevel="0" collapsed="false">
      <c r="A325" s="11" t="str">
        <f aca="false">IF(B325="","",ROW()-3)</f>
        <v/>
      </c>
      <c r="B325" s="12"/>
      <c r="C325" s="13"/>
      <c r="D325" s="14"/>
      <c r="E325" s="11"/>
      <c r="F325" s="15"/>
      <c r="G325" s="14"/>
      <c r="H325" s="15"/>
      <c r="I325" s="15"/>
      <c r="J325" s="16"/>
      <c r="K325" s="12"/>
      <c r="L325" s="12"/>
      <c r="M325" s="16"/>
      <c r="N325" s="12"/>
      <c r="O325" s="17"/>
      <c r="P325" s="16"/>
      <c r="Q325" s="12"/>
      <c r="R325" s="15"/>
      <c r="S325" s="16" t="str">
        <f aca="false">IF(B325="","",IF(M325="Desestimada","Cerrado - desestimada",IF(AND(M325="Aplicada",OR(P325="Pagada",P325="Incluida en expensas")),"Cerrado - multa cobrada",IF(M325="Aplicada","Multa aplicada - impaga",IF(L325&lt;&gt;"","Descargo respondido - a resolver",IF(J325="Sí","Esperando respuesta descargo","Pendiente enviar descargo"))))))</f>
        <v/>
      </c>
      <c r="T325" s="18" t="str">
        <f aca="true">IF(B325="","",TODAY()-B325)</f>
        <v/>
      </c>
    </row>
    <row r="326" customFormat="false" ht="15" hidden="false" customHeight="false" outlineLevel="0" collapsed="false">
      <c r="A326" s="11" t="str">
        <f aca="false">IF(B326="","",ROW()-3)</f>
        <v/>
      </c>
      <c r="B326" s="12"/>
      <c r="C326" s="13"/>
      <c r="D326" s="14"/>
      <c r="E326" s="11"/>
      <c r="F326" s="15"/>
      <c r="G326" s="14"/>
      <c r="H326" s="15"/>
      <c r="I326" s="15"/>
      <c r="J326" s="16"/>
      <c r="K326" s="12"/>
      <c r="L326" s="12"/>
      <c r="M326" s="16"/>
      <c r="N326" s="12"/>
      <c r="O326" s="17"/>
      <c r="P326" s="16"/>
      <c r="Q326" s="12"/>
      <c r="R326" s="15"/>
      <c r="S326" s="16" t="str">
        <f aca="false">IF(B326="","",IF(M326="Desestimada","Cerrado - desestimada",IF(AND(M326="Aplicada",OR(P326="Pagada",P326="Incluida en expensas")),"Cerrado - multa cobrada",IF(M326="Aplicada","Multa aplicada - impaga",IF(L326&lt;&gt;"","Descargo respondido - a resolver",IF(J326="Sí","Esperando respuesta descargo","Pendiente enviar descargo"))))))</f>
        <v/>
      </c>
      <c r="T326" s="18" t="str">
        <f aca="true">IF(B326="","",TODAY()-B326)</f>
        <v/>
      </c>
    </row>
    <row r="327" customFormat="false" ht="15" hidden="false" customHeight="false" outlineLevel="0" collapsed="false">
      <c r="A327" s="11" t="str">
        <f aca="false">IF(B327="","",ROW()-3)</f>
        <v/>
      </c>
      <c r="B327" s="12"/>
      <c r="C327" s="13"/>
      <c r="D327" s="14"/>
      <c r="E327" s="11"/>
      <c r="F327" s="15"/>
      <c r="G327" s="14"/>
      <c r="H327" s="15"/>
      <c r="I327" s="15"/>
      <c r="J327" s="16"/>
      <c r="K327" s="12"/>
      <c r="L327" s="12"/>
      <c r="M327" s="16"/>
      <c r="N327" s="12"/>
      <c r="O327" s="17"/>
      <c r="P327" s="16"/>
      <c r="Q327" s="12"/>
      <c r="R327" s="15"/>
      <c r="S327" s="16" t="str">
        <f aca="false">IF(B327="","",IF(M327="Desestimada","Cerrado - desestimada",IF(AND(M327="Aplicada",OR(P327="Pagada",P327="Incluida en expensas")),"Cerrado - multa cobrada",IF(M327="Aplicada","Multa aplicada - impaga",IF(L327&lt;&gt;"","Descargo respondido - a resolver",IF(J327="Sí","Esperando respuesta descargo","Pendiente enviar descargo"))))))</f>
        <v/>
      </c>
      <c r="T327" s="18" t="str">
        <f aca="true">IF(B327="","",TODAY()-B327)</f>
        <v/>
      </c>
    </row>
    <row r="328" customFormat="false" ht="15" hidden="false" customHeight="false" outlineLevel="0" collapsed="false">
      <c r="A328" s="11" t="str">
        <f aca="false">IF(B328="","",ROW()-3)</f>
        <v/>
      </c>
      <c r="B328" s="12"/>
      <c r="C328" s="13"/>
      <c r="D328" s="14"/>
      <c r="E328" s="11"/>
      <c r="F328" s="15"/>
      <c r="G328" s="14"/>
      <c r="H328" s="15"/>
      <c r="I328" s="15"/>
      <c r="J328" s="16"/>
      <c r="K328" s="12"/>
      <c r="L328" s="12"/>
      <c r="M328" s="16"/>
      <c r="N328" s="12"/>
      <c r="O328" s="17"/>
      <c r="P328" s="16"/>
      <c r="Q328" s="12"/>
      <c r="R328" s="15"/>
      <c r="S328" s="16" t="str">
        <f aca="false">IF(B328="","",IF(M328="Desestimada","Cerrado - desestimada",IF(AND(M328="Aplicada",OR(P328="Pagada",P328="Incluida en expensas")),"Cerrado - multa cobrada",IF(M328="Aplicada","Multa aplicada - impaga",IF(L328&lt;&gt;"","Descargo respondido - a resolver",IF(J328="Sí","Esperando respuesta descargo","Pendiente enviar descargo"))))))</f>
        <v/>
      </c>
      <c r="T328" s="18" t="str">
        <f aca="true">IF(B328="","",TODAY()-B328)</f>
        <v/>
      </c>
    </row>
    <row r="329" customFormat="false" ht="15" hidden="false" customHeight="false" outlineLevel="0" collapsed="false">
      <c r="A329" s="11" t="str">
        <f aca="false">IF(B329="","",ROW()-3)</f>
        <v/>
      </c>
      <c r="B329" s="12"/>
      <c r="C329" s="13"/>
      <c r="D329" s="14"/>
      <c r="E329" s="11"/>
      <c r="F329" s="15"/>
      <c r="G329" s="14"/>
      <c r="H329" s="15"/>
      <c r="I329" s="15"/>
      <c r="J329" s="16"/>
      <c r="K329" s="12"/>
      <c r="L329" s="12"/>
      <c r="M329" s="16"/>
      <c r="N329" s="12"/>
      <c r="O329" s="17"/>
      <c r="P329" s="16"/>
      <c r="Q329" s="12"/>
      <c r="R329" s="15"/>
      <c r="S329" s="16" t="str">
        <f aca="false">IF(B329="","",IF(M329="Desestimada","Cerrado - desestimada",IF(AND(M329="Aplicada",OR(P329="Pagada",P329="Incluida en expensas")),"Cerrado - multa cobrada",IF(M329="Aplicada","Multa aplicada - impaga",IF(L329&lt;&gt;"","Descargo respondido - a resolver",IF(J329="Sí","Esperando respuesta descargo","Pendiente enviar descargo"))))))</f>
        <v/>
      </c>
      <c r="T329" s="18" t="str">
        <f aca="true">IF(B329="","",TODAY()-B329)</f>
        <v/>
      </c>
    </row>
    <row r="330" customFormat="false" ht="15" hidden="false" customHeight="false" outlineLevel="0" collapsed="false">
      <c r="A330" s="11" t="str">
        <f aca="false">IF(B330="","",ROW()-3)</f>
        <v/>
      </c>
      <c r="B330" s="12"/>
      <c r="C330" s="13"/>
      <c r="D330" s="14"/>
      <c r="E330" s="11"/>
      <c r="F330" s="15"/>
      <c r="G330" s="14"/>
      <c r="H330" s="15"/>
      <c r="I330" s="15"/>
      <c r="J330" s="16"/>
      <c r="K330" s="12"/>
      <c r="L330" s="12"/>
      <c r="M330" s="16"/>
      <c r="N330" s="12"/>
      <c r="O330" s="17"/>
      <c r="P330" s="16"/>
      <c r="Q330" s="12"/>
      <c r="R330" s="15"/>
      <c r="S330" s="16" t="str">
        <f aca="false">IF(B330="","",IF(M330="Desestimada","Cerrado - desestimada",IF(AND(M330="Aplicada",OR(P330="Pagada",P330="Incluida en expensas")),"Cerrado - multa cobrada",IF(M330="Aplicada","Multa aplicada - impaga",IF(L330&lt;&gt;"","Descargo respondido - a resolver",IF(J330="Sí","Esperando respuesta descargo","Pendiente enviar descargo"))))))</f>
        <v/>
      </c>
      <c r="T330" s="18" t="str">
        <f aca="true">IF(B330="","",TODAY()-B330)</f>
        <v/>
      </c>
    </row>
    <row r="331" customFormat="false" ht="15" hidden="false" customHeight="false" outlineLevel="0" collapsed="false">
      <c r="A331" s="11" t="str">
        <f aca="false">IF(B331="","",ROW()-3)</f>
        <v/>
      </c>
      <c r="B331" s="12"/>
      <c r="C331" s="13"/>
      <c r="D331" s="14"/>
      <c r="E331" s="11"/>
      <c r="F331" s="15"/>
      <c r="G331" s="14"/>
      <c r="H331" s="15"/>
      <c r="I331" s="15"/>
      <c r="J331" s="16"/>
      <c r="K331" s="12"/>
      <c r="L331" s="12"/>
      <c r="M331" s="16"/>
      <c r="N331" s="12"/>
      <c r="O331" s="17"/>
      <c r="P331" s="16"/>
      <c r="Q331" s="12"/>
      <c r="R331" s="15"/>
      <c r="S331" s="16" t="str">
        <f aca="false">IF(B331="","",IF(M331="Desestimada","Cerrado - desestimada",IF(AND(M331="Aplicada",OR(P331="Pagada",P331="Incluida en expensas")),"Cerrado - multa cobrada",IF(M331="Aplicada","Multa aplicada - impaga",IF(L331&lt;&gt;"","Descargo respondido - a resolver",IF(J331="Sí","Esperando respuesta descargo","Pendiente enviar descargo"))))))</f>
        <v/>
      </c>
      <c r="T331" s="18" t="str">
        <f aca="true">IF(B331="","",TODAY()-B331)</f>
        <v/>
      </c>
    </row>
    <row r="332" customFormat="false" ht="15" hidden="false" customHeight="false" outlineLevel="0" collapsed="false">
      <c r="A332" s="11" t="str">
        <f aca="false">IF(B332="","",ROW()-3)</f>
        <v/>
      </c>
      <c r="B332" s="12"/>
      <c r="C332" s="13"/>
      <c r="D332" s="14"/>
      <c r="E332" s="11"/>
      <c r="F332" s="15"/>
      <c r="G332" s="14"/>
      <c r="H332" s="15"/>
      <c r="I332" s="15"/>
      <c r="J332" s="16"/>
      <c r="K332" s="12"/>
      <c r="L332" s="12"/>
      <c r="M332" s="16"/>
      <c r="N332" s="12"/>
      <c r="O332" s="17"/>
      <c r="P332" s="16"/>
      <c r="Q332" s="12"/>
      <c r="R332" s="15"/>
      <c r="S332" s="16" t="str">
        <f aca="false">IF(B332="","",IF(M332="Desestimada","Cerrado - desestimada",IF(AND(M332="Aplicada",OR(P332="Pagada",P332="Incluida en expensas")),"Cerrado - multa cobrada",IF(M332="Aplicada","Multa aplicada - impaga",IF(L332&lt;&gt;"","Descargo respondido - a resolver",IF(J332="Sí","Esperando respuesta descargo","Pendiente enviar descargo"))))))</f>
        <v/>
      </c>
      <c r="T332" s="18" t="str">
        <f aca="true">IF(B332="","",TODAY()-B332)</f>
        <v/>
      </c>
    </row>
    <row r="333" customFormat="false" ht="15" hidden="false" customHeight="false" outlineLevel="0" collapsed="false">
      <c r="A333" s="11" t="str">
        <f aca="false">IF(B333="","",ROW()-3)</f>
        <v/>
      </c>
      <c r="B333" s="12"/>
      <c r="C333" s="13"/>
      <c r="D333" s="14"/>
      <c r="E333" s="11"/>
      <c r="F333" s="15"/>
      <c r="G333" s="14"/>
      <c r="H333" s="15"/>
      <c r="I333" s="15"/>
      <c r="J333" s="16"/>
      <c r="K333" s="12"/>
      <c r="L333" s="12"/>
      <c r="M333" s="16"/>
      <c r="N333" s="12"/>
      <c r="O333" s="17"/>
      <c r="P333" s="16"/>
      <c r="Q333" s="12"/>
      <c r="R333" s="15"/>
      <c r="S333" s="16" t="str">
        <f aca="false">IF(B333="","",IF(M333="Desestimada","Cerrado - desestimada",IF(AND(M333="Aplicada",OR(P333="Pagada",P333="Incluida en expensas")),"Cerrado - multa cobrada",IF(M333="Aplicada","Multa aplicada - impaga",IF(L333&lt;&gt;"","Descargo respondido - a resolver",IF(J333="Sí","Esperando respuesta descargo","Pendiente enviar descargo"))))))</f>
        <v/>
      </c>
      <c r="T333" s="18" t="str">
        <f aca="true">IF(B333="","",TODAY()-B333)</f>
        <v/>
      </c>
    </row>
    <row r="334" customFormat="false" ht="15" hidden="false" customHeight="false" outlineLevel="0" collapsed="false">
      <c r="A334" s="11" t="str">
        <f aca="false">IF(B334="","",ROW()-3)</f>
        <v/>
      </c>
      <c r="B334" s="12"/>
      <c r="C334" s="13"/>
      <c r="D334" s="14"/>
      <c r="E334" s="11"/>
      <c r="F334" s="15"/>
      <c r="G334" s="14"/>
      <c r="H334" s="15"/>
      <c r="I334" s="15"/>
      <c r="J334" s="16"/>
      <c r="K334" s="12"/>
      <c r="L334" s="12"/>
      <c r="M334" s="16"/>
      <c r="N334" s="12"/>
      <c r="O334" s="17"/>
      <c r="P334" s="16"/>
      <c r="Q334" s="12"/>
      <c r="R334" s="15"/>
      <c r="S334" s="16" t="str">
        <f aca="false">IF(B334="","",IF(M334="Desestimada","Cerrado - desestimada",IF(AND(M334="Aplicada",OR(P334="Pagada",P334="Incluida en expensas")),"Cerrado - multa cobrada",IF(M334="Aplicada","Multa aplicada - impaga",IF(L334&lt;&gt;"","Descargo respondido - a resolver",IF(J334="Sí","Esperando respuesta descargo","Pendiente enviar descargo"))))))</f>
        <v/>
      </c>
      <c r="T334" s="18" t="str">
        <f aca="true">IF(B334="","",TODAY()-B334)</f>
        <v/>
      </c>
    </row>
    <row r="335" customFormat="false" ht="15" hidden="false" customHeight="false" outlineLevel="0" collapsed="false">
      <c r="A335" s="11" t="str">
        <f aca="false">IF(B335="","",ROW()-3)</f>
        <v/>
      </c>
      <c r="B335" s="12"/>
      <c r="C335" s="13"/>
      <c r="D335" s="14"/>
      <c r="E335" s="11"/>
      <c r="F335" s="15"/>
      <c r="G335" s="14"/>
      <c r="H335" s="15"/>
      <c r="I335" s="15"/>
      <c r="J335" s="16"/>
      <c r="K335" s="12"/>
      <c r="L335" s="12"/>
      <c r="M335" s="16"/>
      <c r="N335" s="12"/>
      <c r="O335" s="17"/>
      <c r="P335" s="16"/>
      <c r="Q335" s="12"/>
      <c r="R335" s="15"/>
      <c r="S335" s="16" t="str">
        <f aca="false">IF(B335="","",IF(M335="Desestimada","Cerrado - desestimada",IF(AND(M335="Aplicada",OR(P335="Pagada",P335="Incluida en expensas")),"Cerrado - multa cobrada",IF(M335="Aplicada","Multa aplicada - impaga",IF(L335&lt;&gt;"","Descargo respondido - a resolver",IF(J335="Sí","Esperando respuesta descargo","Pendiente enviar descargo"))))))</f>
        <v/>
      </c>
      <c r="T335" s="18" t="str">
        <f aca="true">IF(B335="","",TODAY()-B335)</f>
        <v/>
      </c>
    </row>
    <row r="336" customFormat="false" ht="15" hidden="false" customHeight="false" outlineLevel="0" collapsed="false">
      <c r="A336" s="11" t="str">
        <f aca="false">IF(B336="","",ROW()-3)</f>
        <v/>
      </c>
      <c r="B336" s="12"/>
      <c r="C336" s="13"/>
      <c r="D336" s="14"/>
      <c r="E336" s="11"/>
      <c r="F336" s="15"/>
      <c r="G336" s="14"/>
      <c r="H336" s="15"/>
      <c r="I336" s="15"/>
      <c r="J336" s="16"/>
      <c r="K336" s="12"/>
      <c r="L336" s="12"/>
      <c r="M336" s="16"/>
      <c r="N336" s="12"/>
      <c r="O336" s="17"/>
      <c r="P336" s="16"/>
      <c r="Q336" s="12"/>
      <c r="R336" s="15"/>
      <c r="S336" s="16" t="str">
        <f aca="false">IF(B336="","",IF(M336="Desestimada","Cerrado - desestimada",IF(AND(M336="Aplicada",OR(P336="Pagada",P336="Incluida en expensas")),"Cerrado - multa cobrada",IF(M336="Aplicada","Multa aplicada - impaga",IF(L336&lt;&gt;"","Descargo respondido - a resolver",IF(J336="Sí","Esperando respuesta descargo","Pendiente enviar descargo"))))))</f>
        <v/>
      </c>
      <c r="T336" s="18" t="str">
        <f aca="true">IF(B336="","",TODAY()-B336)</f>
        <v/>
      </c>
    </row>
    <row r="337" customFormat="false" ht="15" hidden="false" customHeight="false" outlineLevel="0" collapsed="false">
      <c r="A337" s="11" t="str">
        <f aca="false">IF(B337="","",ROW()-3)</f>
        <v/>
      </c>
      <c r="B337" s="12"/>
      <c r="C337" s="13"/>
      <c r="D337" s="14"/>
      <c r="E337" s="11"/>
      <c r="F337" s="15"/>
      <c r="G337" s="14"/>
      <c r="H337" s="15"/>
      <c r="I337" s="15"/>
      <c r="J337" s="16"/>
      <c r="K337" s="12"/>
      <c r="L337" s="12"/>
      <c r="M337" s="16"/>
      <c r="N337" s="12"/>
      <c r="O337" s="17"/>
      <c r="P337" s="16"/>
      <c r="Q337" s="12"/>
      <c r="R337" s="15"/>
      <c r="S337" s="16" t="str">
        <f aca="false">IF(B337="","",IF(M337="Desestimada","Cerrado - desestimada",IF(AND(M337="Aplicada",OR(P337="Pagada",P337="Incluida en expensas")),"Cerrado - multa cobrada",IF(M337="Aplicada","Multa aplicada - impaga",IF(L337&lt;&gt;"","Descargo respondido - a resolver",IF(J337="Sí","Esperando respuesta descargo","Pendiente enviar descargo"))))))</f>
        <v/>
      </c>
      <c r="T337" s="18" t="str">
        <f aca="true">IF(B337="","",TODAY()-B337)</f>
        <v/>
      </c>
    </row>
    <row r="338" customFormat="false" ht="15" hidden="false" customHeight="false" outlineLevel="0" collapsed="false">
      <c r="A338" s="11" t="str">
        <f aca="false">IF(B338="","",ROW()-3)</f>
        <v/>
      </c>
      <c r="B338" s="12"/>
      <c r="C338" s="13"/>
      <c r="D338" s="14"/>
      <c r="E338" s="11"/>
      <c r="F338" s="15"/>
      <c r="G338" s="14"/>
      <c r="H338" s="15"/>
      <c r="I338" s="15"/>
      <c r="J338" s="16"/>
      <c r="K338" s="12"/>
      <c r="L338" s="12"/>
      <c r="M338" s="16"/>
      <c r="N338" s="12"/>
      <c r="O338" s="17"/>
      <c r="P338" s="16"/>
      <c r="Q338" s="12"/>
      <c r="R338" s="15"/>
      <c r="S338" s="16" t="str">
        <f aca="false">IF(B338="","",IF(M338="Desestimada","Cerrado - desestimada",IF(AND(M338="Aplicada",OR(P338="Pagada",P338="Incluida en expensas")),"Cerrado - multa cobrada",IF(M338="Aplicada","Multa aplicada - impaga",IF(L338&lt;&gt;"","Descargo respondido - a resolver",IF(J338="Sí","Esperando respuesta descargo","Pendiente enviar descargo"))))))</f>
        <v/>
      </c>
      <c r="T338" s="18" t="str">
        <f aca="true">IF(B338="","",TODAY()-B338)</f>
        <v/>
      </c>
    </row>
    <row r="339" customFormat="false" ht="15" hidden="false" customHeight="false" outlineLevel="0" collapsed="false">
      <c r="A339" s="11" t="str">
        <f aca="false">IF(B339="","",ROW()-3)</f>
        <v/>
      </c>
      <c r="B339" s="12"/>
      <c r="C339" s="13"/>
      <c r="D339" s="14"/>
      <c r="E339" s="11"/>
      <c r="F339" s="15"/>
      <c r="G339" s="14"/>
      <c r="H339" s="15"/>
      <c r="I339" s="15"/>
      <c r="J339" s="16"/>
      <c r="K339" s="12"/>
      <c r="L339" s="12"/>
      <c r="M339" s="16"/>
      <c r="N339" s="12"/>
      <c r="O339" s="17"/>
      <c r="P339" s="16"/>
      <c r="Q339" s="12"/>
      <c r="R339" s="15"/>
      <c r="S339" s="16" t="str">
        <f aca="false">IF(B339="","",IF(M339="Desestimada","Cerrado - desestimada",IF(AND(M339="Aplicada",OR(P339="Pagada",P339="Incluida en expensas")),"Cerrado - multa cobrada",IF(M339="Aplicada","Multa aplicada - impaga",IF(L339&lt;&gt;"","Descargo respondido - a resolver",IF(J339="Sí","Esperando respuesta descargo","Pendiente enviar descargo"))))))</f>
        <v/>
      </c>
      <c r="T339" s="18" t="str">
        <f aca="true">IF(B339="","",TODAY()-B339)</f>
        <v/>
      </c>
    </row>
    <row r="340" customFormat="false" ht="15" hidden="false" customHeight="false" outlineLevel="0" collapsed="false">
      <c r="A340" s="11" t="str">
        <f aca="false">IF(B340="","",ROW()-3)</f>
        <v/>
      </c>
      <c r="B340" s="12"/>
      <c r="C340" s="13"/>
      <c r="D340" s="14"/>
      <c r="E340" s="11"/>
      <c r="F340" s="15"/>
      <c r="G340" s="14"/>
      <c r="H340" s="15"/>
      <c r="I340" s="15"/>
      <c r="J340" s="16"/>
      <c r="K340" s="12"/>
      <c r="L340" s="12"/>
      <c r="M340" s="16"/>
      <c r="N340" s="12"/>
      <c r="O340" s="17"/>
      <c r="P340" s="16"/>
      <c r="Q340" s="12"/>
      <c r="R340" s="15"/>
      <c r="S340" s="16" t="str">
        <f aca="false">IF(B340="","",IF(M340="Desestimada","Cerrado - desestimada",IF(AND(M340="Aplicada",OR(P340="Pagada",P340="Incluida en expensas")),"Cerrado - multa cobrada",IF(M340="Aplicada","Multa aplicada - impaga",IF(L340&lt;&gt;"","Descargo respondido - a resolver",IF(J340="Sí","Esperando respuesta descargo","Pendiente enviar descargo"))))))</f>
        <v/>
      </c>
      <c r="T340" s="18" t="str">
        <f aca="true">IF(B340="","",TODAY()-B340)</f>
        <v/>
      </c>
    </row>
    <row r="341" customFormat="false" ht="15" hidden="false" customHeight="false" outlineLevel="0" collapsed="false">
      <c r="A341" s="11" t="str">
        <f aca="false">IF(B341="","",ROW()-3)</f>
        <v/>
      </c>
      <c r="B341" s="12"/>
      <c r="C341" s="13"/>
      <c r="D341" s="14"/>
      <c r="E341" s="11"/>
      <c r="F341" s="15"/>
      <c r="G341" s="14"/>
      <c r="H341" s="15"/>
      <c r="I341" s="15"/>
      <c r="J341" s="16"/>
      <c r="K341" s="12"/>
      <c r="L341" s="12"/>
      <c r="M341" s="16"/>
      <c r="N341" s="12"/>
      <c r="O341" s="17"/>
      <c r="P341" s="16"/>
      <c r="Q341" s="12"/>
      <c r="R341" s="15"/>
      <c r="S341" s="16" t="str">
        <f aca="false">IF(B341="","",IF(M341="Desestimada","Cerrado - desestimada",IF(AND(M341="Aplicada",OR(P341="Pagada",P341="Incluida en expensas")),"Cerrado - multa cobrada",IF(M341="Aplicada","Multa aplicada - impaga",IF(L341&lt;&gt;"","Descargo respondido - a resolver",IF(J341="Sí","Esperando respuesta descargo","Pendiente enviar descargo"))))))</f>
        <v/>
      </c>
      <c r="T341" s="18" t="str">
        <f aca="true">IF(B341="","",TODAY()-B341)</f>
        <v/>
      </c>
    </row>
    <row r="342" customFormat="false" ht="15" hidden="false" customHeight="false" outlineLevel="0" collapsed="false">
      <c r="A342" s="11" t="str">
        <f aca="false">IF(B342="","",ROW()-3)</f>
        <v/>
      </c>
      <c r="B342" s="12"/>
      <c r="C342" s="13"/>
      <c r="D342" s="14"/>
      <c r="E342" s="11"/>
      <c r="F342" s="15"/>
      <c r="G342" s="14"/>
      <c r="H342" s="15"/>
      <c r="I342" s="15"/>
      <c r="J342" s="16"/>
      <c r="K342" s="12"/>
      <c r="L342" s="12"/>
      <c r="M342" s="16"/>
      <c r="N342" s="12"/>
      <c r="O342" s="17"/>
      <c r="P342" s="16"/>
      <c r="Q342" s="12"/>
      <c r="R342" s="15"/>
      <c r="S342" s="16" t="str">
        <f aca="false">IF(B342="","",IF(M342="Desestimada","Cerrado - desestimada",IF(AND(M342="Aplicada",OR(P342="Pagada",P342="Incluida en expensas")),"Cerrado - multa cobrada",IF(M342="Aplicada","Multa aplicada - impaga",IF(L342&lt;&gt;"","Descargo respondido - a resolver",IF(J342="Sí","Esperando respuesta descargo","Pendiente enviar descargo"))))))</f>
        <v/>
      </c>
      <c r="T342" s="18" t="str">
        <f aca="true">IF(B342="","",TODAY()-B342)</f>
        <v/>
      </c>
    </row>
    <row r="343" customFormat="false" ht="15" hidden="false" customHeight="false" outlineLevel="0" collapsed="false">
      <c r="A343" s="11" t="str">
        <f aca="false">IF(B343="","",ROW()-3)</f>
        <v/>
      </c>
      <c r="B343" s="12"/>
      <c r="C343" s="13"/>
      <c r="D343" s="14"/>
      <c r="E343" s="11"/>
      <c r="F343" s="15"/>
      <c r="G343" s="14"/>
      <c r="H343" s="15"/>
      <c r="I343" s="15"/>
      <c r="J343" s="16"/>
      <c r="K343" s="12"/>
      <c r="L343" s="12"/>
      <c r="M343" s="16"/>
      <c r="N343" s="12"/>
      <c r="O343" s="17"/>
      <c r="P343" s="16"/>
      <c r="Q343" s="12"/>
      <c r="R343" s="15"/>
      <c r="S343" s="16" t="str">
        <f aca="false">IF(B343="","",IF(M343="Desestimada","Cerrado - desestimada",IF(AND(M343="Aplicada",OR(P343="Pagada",P343="Incluida en expensas")),"Cerrado - multa cobrada",IF(M343="Aplicada","Multa aplicada - impaga",IF(L343&lt;&gt;"","Descargo respondido - a resolver",IF(J343="Sí","Esperando respuesta descargo","Pendiente enviar descargo"))))))</f>
        <v/>
      </c>
      <c r="T343" s="18" t="str">
        <f aca="true">IF(B343="","",TODAY()-B343)</f>
        <v/>
      </c>
    </row>
    <row r="344" customFormat="false" ht="15" hidden="false" customHeight="false" outlineLevel="0" collapsed="false">
      <c r="A344" s="11" t="str">
        <f aca="false">IF(B344="","",ROW()-3)</f>
        <v/>
      </c>
      <c r="B344" s="12"/>
      <c r="C344" s="13"/>
      <c r="D344" s="14"/>
      <c r="E344" s="11"/>
      <c r="F344" s="15"/>
      <c r="G344" s="14"/>
      <c r="H344" s="15"/>
      <c r="I344" s="15"/>
      <c r="J344" s="16"/>
      <c r="K344" s="12"/>
      <c r="L344" s="12"/>
      <c r="M344" s="16"/>
      <c r="N344" s="12"/>
      <c r="O344" s="17"/>
      <c r="P344" s="16"/>
      <c r="Q344" s="12"/>
      <c r="R344" s="15"/>
      <c r="S344" s="16" t="str">
        <f aca="false">IF(B344="","",IF(M344="Desestimada","Cerrado - desestimada",IF(AND(M344="Aplicada",OR(P344="Pagada",P344="Incluida en expensas")),"Cerrado - multa cobrada",IF(M344="Aplicada","Multa aplicada - impaga",IF(L344&lt;&gt;"","Descargo respondido - a resolver",IF(J344="Sí","Esperando respuesta descargo","Pendiente enviar descargo"))))))</f>
        <v/>
      </c>
      <c r="T344" s="18" t="str">
        <f aca="true">IF(B344="","",TODAY()-B344)</f>
        <v/>
      </c>
    </row>
    <row r="345" customFormat="false" ht="15" hidden="false" customHeight="false" outlineLevel="0" collapsed="false">
      <c r="A345" s="11" t="str">
        <f aca="false">IF(B345="","",ROW()-3)</f>
        <v/>
      </c>
      <c r="B345" s="12"/>
      <c r="C345" s="13"/>
      <c r="D345" s="14"/>
      <c r="E345" s="11"/>
      <c r="F345" s="15"/>
      <c r="G345" s="14"/>
      <c r="H345" s="15"/>
      <c r="I345" s="15"/>
      <c r="J345" s="16"/>
      <c r="K345" s="12"/>
      <c r="L345" s="12"/>
      <c r="M345" s="16"/>
      <c r="N345" s="12"/>
      <c r="O345" s="17"/>
      <c r="P345" s="16"/>
      <c r="Q345" s="12"/>
      <c r="R345" s="15"/>
      <c r="S345" s="16" t="str">
        <f aca="false">IF(B345="","",IF(M345="Desestimada","Cerrado - desestimada",IF(AND(M345="Aplicada",OR(P345="Pagada",P345="Incluida en expensas")),"Cerrado - multa cobrada",IF(M345="Aplicada","Multa aplicada - impaga",IF(L345&lt;&gt;"","Descargo respondido - a resolver",IF(J345="Sí","Esperando respuesta descargo","Pendiente enviar descargo"))))))</f>
        <v/>
      </c>
      <c r="T345" s="18" t="str">
        <f aca="true">IF(B345="","",TODAY()-B345)</f>
        <v/>
      </c>
    </row>
    <row r="346" customFormat="false" ht="15" hidden="false" customHeight="false" outlineLevel="0" collapsed="false">
      <c r="A346" s="11" t="str">
        <f aca="false">IF(B346="","",ROW()-3)</f>
        <v/>
      </c>
      <c r="B346" s="12"/>
      <c r="C346" s="13"/>
      <c r="D346" s="14"/>
      <c r="E346" s="11"/>
      <c r="F346" s="15"/>
      <c r="G346" s="14"/>
      <c r="H346" s="15"/>
      <c r="I346" s="15"/>
      <c r="J346" s="16"/>
      <c r="K346" s="12"/>
      <c r="L346" s="12"/>
      <c r="M346" s="16"/>
      <c r="N346" s="12"/>
      <c r="O346" s="17"/>
      <c r="P346" s="16"/>
      <c r="Q346" s="12"/>
      <c r="R346" s="15"/>
      <c r="S346" s="16" t="str">
        <f aca="false">IF(B346="","",IF(M346="Desestimada","Cerrado - desestimada",IF(AND(M346="Aplicada",OR(P346="Pagada",P346="Incluida en expensas")),"Cerrado - multa cobrada",IF(M346="Aplicada","Multa aplicada - impaga",IF(L346&lt;&gt;"","Descargo respondido - a resolver",IF(J346="Sí","Esperando respuesta descargo","Pendiente enviar descargo"))))))</f>
        <v/>
      </c>
      <c r="T346" s="18" t="str">
        <f aca="true">IF(B346="","",TODAY()-B346)</f>
        <v/>
      </c>
    </row>
    <row r="347" customFormat="false" ht="15" hidden="false" customHeight="false" outlineLevel="0" collapsed="false">
      <c r="A347" s="11" t="str">
        <f aca="false">IF(B347="","",ROW()-3)</f>
        <v/>
      </c>
      <c r="B347" s="12"/>
      <c r="C347" s="13"/>
      <c r="D347" s="14"/>
      <c r="E347" s="11"/>
      <c r="F347" s="15"/>
      <c r="G347" s="14"/>
      <c r="H347" s="15"/>
      <c r="I347" s="15"/>
      <c r="J347" s="16"/>
      <c r="K347" s="12"/>
      <c r="L347" s="12"/>
      <c r="M347" s="16"/>
      <c r="N347" s="12"/>
      <c r="O347" s="17"/>
      <c r="P347" s="16"/>
      <c r="Q347" s="12"/>
      <c r="R347" s="15"/>
      <c r="S347" s="16" t="str">
        <f aca="false">IF(B347="","",IF(M347="Desestimada","Cerrado - desestimada",IF(AND(M347="Aplicada",OR(P347="Pagada",P347="Incluida en expensas")),"Cerrado - multa cobrada",IF(M347="Aplicada","Multa aplicada - impaga",IF(L347&lt;&gt;"","Descargo respondido - a resolver",IF(J347="Sí","Esperando respuesta descargo","Pendiente enviar descargo"))))))</f>
        <v/>
      </c>
      <c r="T347" s="18" t="str">
        <f aca="true">IF(B347="","",TODAY()-B347)</f>
        <v/>
      </c>
    </row>
    <row r="348" customFormat="false" ht="15" hidden="false" customHeight="false" outlineLevel="0" collapsed="false">
      <c r="A348" s="11" t="str">
        <f aca="false">IF(B348="","",ROW()-3)</f>
        <v/>
      </c>
      <c r="B348" s="12"/>
      <c r="C348" s="13"/>
      <c r="D348" s="14"/>
      <c r="E348" s="11"/>
      <c r="F348" s="15"/>
      <c r="G348" s="14"/>
      <c r="H348" s="15"/>
      <c r="I348" s="15"/>
      <c r="J348" s="16"/>
      <c r="K348" s="12"/>
      <c r="L348" s="12"/>
      <c r="M348" s="16"/>
      <c r="N348" s="12"/>
      <c r="O348" s="17"/>
      <c r="P348" s="16"/>
      <c r="Q348" s="12"/>
      <c r="R348" s="15"/>
      <c r="S348" s="16" t="str">
        <f aca="false">IF(B348="","",IF(M348="Desestimada","Cerrado - desestimada",IF(AND(M348="Aplicada",OR(P348="Pagada",P348="Incluida en expensas")),"Cerrado - multa cobrada",IF(M348="Aplicada","Multa aplicada - impaga",IF(L348&lt;&gt;"","Descargo respondido - a resolver",IF(J348="Sí","Esperando respuesta descargo","Pendiente enviar descargo"))))))</f>
        <v/>
      </c>
      <c r="T348" s="18" t="str">
        <f aca="true">IF(B348="","",TODAY()-B348)</f>
        <v/>
      </c>
    </row>
    <row r="349" customFormat="false" ht="15" hidden="false" customHeight="false" outlineLevel="0" collapsed="false">
      <c r="A349" s="11" t="str">
        <f aca="false">IF(B349="","",ROW()-3)</f>
        <v/>
      </c>
      <c r="B349" s="12"/>
      <c r="C349" s="13"/>
      <c r="D349" s="14"/>
      <c r="E349" s="11"/>
      <c r="F349" s="15"/>
      <c r="G349" s="14"/>
      <c r="H349" s="15"/>
      <c r="I349" s="15"/>
      <c r="J349" s="16"/>
      <c r="K349" s="12"/>
      <c r="L349" s="12"/>
      <c r="M349" s="16"/>
      <c r="N349" s="12"/>
      <c r="O349" s="17"/>
      <c r="P349" s="16"/>
      <c r="Q349" s="12"/>
      <c r="R349" s="15"/>
      <c r="S349" s="16" t="str">
        <f aca="false">IF(B349="","",IF(M349="Desestimada","Cerrado - desestimada",IF(AND(M349="Aplicada",OR(P349="Pagada",P349="Incluida en expensas")),"Cerrado - multa cobrada",IF(M349="Aplicada","Multa aplicada - impaga",IF(L349&lt;&gt;"","Descargo respondido - a resolver",IF(J349="Sí","Esperando respuesta descargo","Pendiente enviar descargo"))))))</f>
        <v/>
      </c>
      <c r="T349" s="18" t="str">
        <f aca="true">IF(B349="","",TODAY()-B349)</f>
        <v/>
      </c>
    </row>
    <row r="350" customFormat="false" ht="15" hidden="false" customHeight="false" outlineLevel="0" collapsed="false">
      <c r="A350" s="11" t="str">
        <f aca="false">IF(B350="","",ROW()-3)</f>
        <v/>
      </c>
      <c r="B350" s="12"/>
      <c r="C350" s="13"/>
      <c r="D350" s="14"/>
      <c r="E350" s="11"/>
      <c r="F350" s="15"/>
      <c r="G350" s="14"/>
      <c r="H350" s="15"/>
      <c r="I350" s="15"/>
      <c r="J350" s="16"/>
      <c r="K350" s="12"/>
      <c r="L350" s="12"/>
      <c r="M350" s="16"/>
      <c r="N350" s="12"/>
      <c r="O350" s="17"/>
      <c r="P350" s="16"/>
      <c r="Q350" s="12"/>
      <c r="R350" s="15"/>
      <c r="S350" s="16" t="str">
        <f aca="false">IF(B350="","",IF(M350="Desestimada","Cerrado - desestimada",IF(AND(M350="Aplicada",OR(P350="Pagada",P350="Incluida en expensas")),"Cerrado - multa cobrada",IF(M350="Aplicada","Multa aplicada - impaga",IF(L350&lt;&gt;"","Descargo respondido - a resolver",IF(J350="Sí","Esperando respuesta descargo","Pendiente enviar descargo"))))))</f>
        <v/>
      </c>
      <c r="T350" s="18" t="str">
        <f aca="true">IF(B350="","",TODAY()-B350)</f>
        <v/>
      </c>
    </row>
    <row r="351" customFormat="false" ht="15" hidden="false" customHeight="false" outlineLevel="0" collapsed="false">
      <c r="A351" s="11" t="str">
        <f aca="false">IF(B351="","",ROW()-3)</f>
        <v/>
      </c>
      <c r="B351" s="12"/>
      <c r="C351" s="13"/>
      <c r="D351" s="14"/>
      <c r="E351" s="11"/>
      <c r="F351" s="15"/>
      <c r="G351" s="14"/>
      <c r="H351" s="15"/>
      <c r="I351" s="15"/>
      <c r="J351" s="16"/>
      <c r="K351" s="12"/>
      <c r="L351" s="12"/>
      <c r="M351" s="16"/>
      <c r="N351" s="12"/>
      <c r="O351" s="17"/>
      <c r="P351" s="16"/>
      <c r="Q351" s="12"/>
      <c r="R351" s="15"/>
      <c r="S351" s="16" t="str">
        <f aca="false">IF(B351="","",IF(M351="Desestimada","Cerrado - desestimada",IF(AND(M351="Aplicada",OR(P351="Pagada",P351="Incluida en expensas")),"Cerrado - multa cobrada",IF(M351="Aplicada","Multa aplicada - impaga",IF(L351&lt;&gt;"","Descargo respondido - a resolver",IF(J351="Sí","Esperando respuesta descargo","Pendiente enviar descargo"))))))</f>
        <v/>
      </c>
      <c r="T351" s="18" t="str">
        <f aca="true">IF(B351="","",TODAY()-B351)</f>
        <v/>
      </c>
    </row>
    <row r="352" customFormat="false" ht="15" hidden="false" customHeight="false" outlineLevel="0" collapsed="false">
      <c r="A352" s="11" t="str">
        <f aca="false">IF(B352="","",ROW()-3)</f>
        <v/>
      </c>
      <c r="B352" s="12"/>
      <c r="C352" s="13"/>
      <c r="D352" s="14"/>
      <c r="E352" s="11"/>
      <c r="F352" s="15"/>
      <c r="G352" s="14"/>
      <c r="H352" s="15"/>
      <c r="I352" s="15"/>
      <c r="J352" s="16"/>
      <c r="K352" s="12"/>
      <c r="L352" s="12"/>
      <c r="M352" s="16"/>
      <c r="N352" s="12"/>
      <c r="O352" s="17"/>
      <c r="P352" s="16"/>
      <c r="Q352" s="12"/>
      <c r="R352" s="15"/>
      <c r="S352" s="16" t="str">
        <f aca="false">IF(B352="","",IF(M352="Desestimada","Cerrado - desestimada",IF(AND(M352="Aplicada",OR(P352="Pagada",P352="Incluida en expensas")),"Cerrado - multa cobrada",IF(M352="Aplicada","Multa aplicada - impaga",IF(L352&lt;&gt;"","Descargo respondido - a resolver",IF(J352="Sí","Esperando respuesta descargo","Pendiente enviar descargo"))))))</f>
        <v/>
      </c>
      <c r="T352" s="18" t="str">
        <f aca="true">IF(B352="","",TODAY()-B352)</f>
        <v/>
      </c>
    </row>
    <row r="353" customFormat="false" ht="15" hidden="false" customHeight="false" outlineLevel="0" collapsed="false">
      <c r="A353" s="11" t="str">
        <f aca="false">IF(B353="","",ROW()-3)</f>
        <v/>
      </c>
      <c r="B353" s="12"/>
      <c r="C353" s="13"/>
      <c r="D353" s="14"/>
      <c r="E353" s="11"/>
      <c r="F353" s="15"/>
      <c r="G353" s="14"/>
      <c r="H353" s="15"/>
      <c r="I353" s="15"/>
      <c r="J353" s="16"/>
      <c r="K353" s="12"/>
      <c r="L353" s="12"/>
      <c r="M353" s="16"/>
      <c r="N353" s="12"/>
      <c r="O353" s="17"/>
      <c r="P353" s="16"/>
      <c r="Q353" s="12"/>
      <c r="R353" s="15"/>
      <c r="S353" s="16" t="str">
        <f aca="false">IF(B353="","",IF(M353="Desestimada","Cerrado - desestimada",IF(AND(M353="Aplicada",OR(P353="Pagada",P353="Incluida en expensas")),"Cerrado - multa cobrada",IF(M353="Aplicada","Multa aplicada - impaga",IF(L353&lt;&gt;"","Descargo respondido - a resolver",IF(J353="Sí","Esperando respuesta descargo","Pendiente enviar descargo"))))))</f>
        <v/>
      </c>
      <c r="T353" s="18" t="str">
        <f aca="true">IF(B353="","",TODAY()-B353)</f>
        <v/>
      </c>
    </row>
    <row r="354" customFormat="false" ht="15" hidden="false" customHeight="false" outlineLevel="0" collapsed="false">
      <c r="A354" s="11" t="str">
        <f aca="false">IF(B354="","",ROW()-3)</f>
        <v/>
      </c>
      <c r="B354" s="12"/>
      <c r="C354" s="13"/>
      <c r="D354" s="14"/>
      <c r="E354" s="11"/>
      <c r="F354" s="15"/>
      <c r="G354" s="14"/>
      <c r="H354" s="15"/>
      <c r="I354" s="15"/>
      <c r="J354" s="16"/>
      <c r="K354" s="12"/>
      <c r="L354" s="12"/>
      <c r="M354" s="16"/>
      <c r="N354" s="12"/>
      <c r="O354" s="17"/>
      <c r="P354" s="16"/>
      <c r="Q354" s="12"/>
      <c r="R354" s="15"/>
      <c r="S354" s="16" t="str">
        <f aca="false">IF(B354="","",IF(M354="Desestimada","Cerrado - desestimada",IF(AND(M354="Aplicada",OR(P354="Pagada",P354="Incluida en expensas")),"Cerrado - multa cobrada",IF(M354="Aplicada","Multa aplicada - impaga",IF(L354&lt;&gt;"","Descargo respondido - a resolver",IF(J354="Sí","Esperando respuesta descargo","Pendiente enviar descargo"))))))</f>
        <v/>
      </c>
      <c r="T354" s="18" t="str">
        <f aca="true">IF(B354="","",TODAY()-B354)</f>
        <v/>
      </c>
    </row>
    <row r="355" customFormat="false" ht="15" hidden="false" customHeight="false" outlineLevel="0" collapsed="false">
      <c r="A355" s="11" t="str">
        <f aca="false">IF(B355="","",ROW()-3)</f>
        <v/>
      </c>
      <c r="B355" s="12"/>
      <c r="C355" s="13"/>
      <c r="D355" s="14"/>
      <c r="E355" s="11"/>
      <c r="F355" s="15"/>
      <c r="G355" s="14"/>
      <c r="H355" s="15"/>
      <c r="I355" s="15"/>
      <c r="J355" s="16"/>
      <c r="K355" s="12"/>
      <c r="L355" s="12"/>
      <c r="M355" s="16"/>
      <c r="N355" s="12"/>
      <c r="O355" s="17"/>
      <c r="P355" s="16"/>
      <c r="Q355" s="12"/>
      <c r="R355" s="15"/>
      <c r="S355" s="16" t="str">
        <f aca="false">IF(B355="","",IF(M355="Desestimada","Cerrado - desestimada",IF(AND(M355="Aplicada",OR(P355="Pagada",P355="Incluida en expensas")),"Cerrado - multa cobrada",IF(M355="Aplicada","Multa aplicada - impaga",IF(L355&lt;&gt;"","Descargo respondido - a resolver",IF(J355="Sí","Esperando respuesta descargo","Pendiente enviar descargo"))))))</f>
        <v/>
      </c>
      <c r="T355" s="18" t="str">
        <f aca="true">IF(B355="","",TODAY()-B355)</f>
        <v/>
      </c>
    </row>
    <row r="356" customFormat="false" ht="15" hidden="false" customHeight="false" outlineLevel="0" collapsed="false">
      <c r="A356" s="11" t="str">
        <f aca="false">IF(B356="","",ROW()-3)</f>
        <v/>
      </c>
      <c r="B356" s="12"/>
      <c r="C356" s="13"/>
      <c r="D356" s="14"/>
      <c r="E356" s="11"/>
      <c r="F356" s="15"/>
      <c r="G356" s="14"/>
      <c r="H356" s="15"/>
      <c r="I356" s="15"/>
      <c r="J356" s="16"/>
      <c r="K356" s="12"/>
      <c r="L356" s="12"/>
      <c r="M356" s="16"/>
      <c r="N356" s="12"/>
      <c r="O356" s="17"/>
      <c r="P356" s="16"/>
      <c r="Q356" s="12"/>
      <c r="R356" s="15"/>
      <c r="S356" s="16" t="str">
        <f aca="false">IF(B356="","",IF(M356="Desestimada","Cerrado - desestimada",IF(AND(M356="Aplicada",OR(P356="Pagada",P356="Incluida en expensas")),"Cerrado - multa cobrada",IF(M356="Aplicada","Multa aplicada - impaga",IF(L356&lt;&gt;"","Descargo respondido - a resolver",IF(J356="Sí","Esperando respuesta descargo","Pendiente enviar descargo"))))))</f>
        <v/>
      </c>
      <c r="T356" s="18" t="str">
        <f aca="true">IF(B356="","",TODAY()-B356)</f>
        <v/>
      </c>
    </row>
    <row r="357" customFormat="false" ht="15" hidden="false" customHeight="false" outlineLevel="0" collapsed="false">
      <c r="A357" s="11" t="str">
        <f aca="false">IF(B357="","",ROW()-3)</f>
        <v/>
      </c>
      <c r="B357" s="12"/>
      <c r="C357" s="13"/>
      <c r="D357" s="14"/>
      <c r="E357" s="11"/>
      <c r="F357" s="15"/>
      <c r="G357" s="14"/>
      <c r="H357" s="15"/>
      <c r="I357" s="15"/>
      <c r="J357" s="16"/>
      <c r="K357" s="12"/>
      <c r="L357" s="12"/>
      <c r="M357" s="16"/>
      <c r="N357" s="12"/>
      <c r="O357" s="17"/>
      <c r="P357" s="16"/>
      <c r="Q357" s="12"/>
      <c r="R357" s="15"/>
      <c r="S357" s="16" t="str">
        <f aca="false">IF(B357="","",IF(M357="Desestimada","Cerrado - desestimada",IF(AND(M357="Aplicada",OR(P357="Pagada",P357="Incluida en expensas")),"Cerrado - multa cobrada",IF(M357="Aplicada","Multa aplicada - impaga",IF(L357&lt;&gt;"","Descargo respondido - a resolver",IF(J357="Sí","Esperando respuesta descargo","Pendiente enviar descargo"))))))</f>
        <v/>
      </c>
      <c r="T357" s="18" t="str">
        <f aca="true">IF(B357="","",TODAY()-B357)</f>
        <v/>
      </c>
    </row>
    <row r="358" customFormat="false" ht="15" hidden="false" customHeight="false" outlineLevel="0" collapsed="false">
      <c r="A358" s="11" t="str">
        <f aca="false">IF(B358="","",ROW()-3)</f>
        <v/>
      </c>
      <c r="B358" s="12"/>
      <c r="C358" s="13"/>
      <c r="D358" s="14"/>
      <c r="E358" s="11"/>
      <c r="F358" s="15"/>
      <c r="G358" s="14"/>
      <c r="H358" s="15"/>
      <c r="I358" s="15"/>
      <c r="J358" s="16"/>
      <c r="K358" s="12"/>
      <c r="L358" s="12"/>
      <c r="M358" s="16"/>
      <c r="N358" s="12"/>
      <c r="O358" s="17"/>
      <c r="P358" s="16"/>
      <c r="Q358" s="12"/>
      <c r="R358" s="15"/>
      <c r="S358" s="16" t="str">
        <f aca="false">IF(B358="","",IF(M358="Desestimada","Cerrado - desestimada",IF(AND(M358="Aplicada",OR(P358="Pagada",P358="Incluida en expensas")),"Cerrado - multa cobrada",IF(M358="Aplicada","Multa aplicada - impaga",IF(L358&lt;&gt;"","Descargo respondido - a resolver",IF(J358="Sí","Esperando respuesta descargo","Pendiente enviar descargo"))))))</f>
        <v/>
      </c>
      <c r="T358" s="18" t="str">
        <f aca="true">IF(B358="","",TODAY()-B358)</f>
        <v/>
      </c>
    </row>
    <row r="359" customFormat="false" ht="15" hidden="false" customHeight="false" outlineLevel="0" collapsed="false">
      <c r="A359" s="11" t="str">
        <f aca="false">IF(B359="","",ROW()-3)</f>
        <v/>
      </c>
      <c r="B359" s="12"/>
      <c r="C359" s="13"/>
      <c r="D359" s="14"/>
      <c r="E359" s="11"/>
      <c r="F359" s="15"/>
      <c r="G359" s="14"/>
      <c r="H359" s="15"/>
      <c r="I359" s="15"/>
      <c r="J359" s="16"/>
      <c r="K359" s="12"/>
      <c r="L359" s="12"/>
      <c r="M359" s="16"/>
      <c r="N359" s="12"/>
      <c r="O359" s="17"/>
      <c r="P359" s="16"/>
      <c r="Q359" s="12"/>
      <c r="R359" s="15"/>
      <c r="S359" s="16" t="str">
        <f aca="false">IF(B359="","",IF(M359="Desestimada","Cerrado - desestimada",IF(AND(M359="Aplicada",OR(P359="Pagada",P359="Incluida en expensas")),"Cerrado - multa cobrada",IF(M359="Aplicada","Multa aplicada - impaga",IF(L359&lt;&gt;"","Descargo respondido - a resolver",IF(J359="Sí","Esperando respuesta descargo","Pendiente enviar descargo"))))))</f>
        <v/>
      </c>
      <c r="T359" s="18" t="str">
        <f aca="true">IF(B359="","",TODAY()-B359)</f>
        <v/>
      </c>
    </row>
    <row r="360" customFormat="false" ht="15" hidden="false" customHeight="false" outlineLevel="0" collapsed="false">
      <c r="A360" s="11" t="str">
        <f aca="false">IF(B360="","",ROW()-3)</f>
        <v/>
      </c>
      <c r="B360" s="12"/>
      <c r="C360" s="13"/>
      <c r="D360" s="14"/>
      <c r="E360" s="11"/>
      <c r="F360" s="15"/>
      <c r="G360" s="14"/>
      <c r="H360" s="15"/>
      <c r="I360" s="15"/>
      <c r="J360" s="16"/>
      <c r="K360" s="12"/>
      <c r="L360" s="12"/>
      <c r="M360" s="16"/>
      <c r="N360" s="12"/>
      <c r="O360" s="17"/>
      <c r="P360" s="16"/>
      <c r="Q360" s="12"/>
      <c r="R360" s="15"/>
      <c r="S360" s="16" t="str">
        <f aca="false">IF(B360="","",IF(M360="Desestimada","Cerrado - desestimada",IF(AND(M360="Aplicada",OR(P360="Pagada",P360="Incluida en expensas")),"Cerrado - multa cobrada",IF(M360="Aplicada","Multa aplicada - impaga",IF(L360&lt;&gt;"","Descargo respondido - a resolver",IF(J360="Sí","Esperando respuesta descargo","Pendiente enviar descargo"))))))</f>
        <v/>
      </c>
      <c r="T360" s="18" t="str">
        <f aca="true">IF(B360="","",TODAY()-B360)</f>
        <v/>
      </c>
    </row>
    <row r="361" customFormat="false" ht="15" hidden="false" customHeight="false" outlineLevel="0" collapsed="false">
      <c r="A361" s="11" t="str">
        <f aca="false">IF(B361="","",ROW()-3)</f>
        <v/>
      </c>
      <c r="B361" s="12"/>
      <c r="C361" s="13"/>
      <c r="D361" s="14"/>
      <c r="E361" s="11"/>
      <c r="F361" s="15"/>
      <c r="G361" s="14"/>
      <c r="H361" s="15"/>
      <c r="I361" s="15"/>
      <c r="J361" s="16"/>
      <c r="K361" s="12"/>
      <c r="L361" s="12"/>
      <c r="M361" s="16"/>
      <c r="N361" s="12"/>
      <c r="O361" s="17"/>
      <c r="P361" s="16"/>
      <c r="Q361" s="12"/>
      <c r="R361" s="15"/>
      <c r="S361" s="16" t="str">
        <f aca="false">IF(B361="","",IF(M361="Desestimada","Cerrado - desestimada",IF(AND(M361="Aplicada",OR(P361="Pagada",P361="Incluida en expensas")),"Cerrado - multa cobrada",IF(M361="Aplicada","Multa aplicada - impaga",IF(L361&lt;&gt;"","Descargo respondido - a resolver",IF(J361="Sí","Esperando respuesta descargo","Pendiente enviar descargo"))))))</f>
        <v/>
      </c>
      <c r="T361" s="18" t="str">
        <f aca="true">IF(B361="","",TODAY()-B361)</f>
        <v/>
      </c>
    </row>
    <row r="362" customFormat="false" ht="15" hidden="false" customHeight="false" outlineLevel="0" collapsed="false">
      <c r="A362" s="11" t="str">
        <f aca="false">IF(B362="","",ROW()-3)</f>
        <v/>
      </c>
      <c r="B362" s="12"/>
      <c r="C362" s="13"/>
      <c r="D362" s="14"/>
      <c r="E362" s="11"/>
      <c r="F362" s="15"/>
      <c r="G362" s="14"/>
      <c r="H362" s="15"/>
      <c r="I362" s="15"/>
      <c r="J362" s="16"/>
      <c r="K362" s="12"/>
      <c r="L362" s="12"/>
      <c r="M362" s="16"/>
      <c r="N362" s="12"/>
      <c r="O362" s="17"/>
      <c r="P362" s="16"/>
      <c r="Q362" s="12"/>
      <c r="R362" s="15"/>
      <c r="S362" s="16" t="str">
        <f aca="false">IF(B362="","",IF(M362="Desestimada","Cerrado - desestimada",IF(AND(M362="Aplicada",OR(P362="Pagada",P362="Incluida en expensas")),"Cerrado - multa cobrada",IF(M362="Aplicada","Multa aplicada - impaga",IF(L362&lt;&gt;"","Descargo respondido - a resolver",IF(J362="Sí","Esperando respuesta descargo","Pendiente enviar descargo"))))))</f>
        <v/>
      </c>
      <c r="T362" s="18" t="str">
        <f aca="true">IF(B362="","",TODAY()-B362)</f>
        <v/>
      </c>
    </row>
    <row r="363" customFormat="false" ht="15" hidden="false" customHeight="false" outlineLevel="0" collapsed="false">
      <c r="A363" s="11" t="str">
        <f aca="false">IF(B363="","",ROW()-3)</f>
        <v/>
      </c>
      <c r="B363" s="12"/>
      <c r="C363" s="13"/>
      <c r="D363" s="14"/>
      <c r="E363" s="11"/>
      <c r="F363" s="15"/>
      <c r="G363" s="14"/>
      <c r="H363" s="15"/>
      <c r="I363" s="15"/>
      <c r="J363" s="16"/>
      <c r="K363" s="12"/>
      <c r="L363" s="12"/>
      <c r="M363" s="16"/>
      <c r="N363" s="12"/>
      <c r="O363" s="17"/>
      <c r="P363" s="16"/>
      <c r="Q363" s="12"/>
      <c r="R363" s="15"/>
      <c r="S363" s="16" t="str">
        <f aca="false">IF(B363="","",IF(M363="Desestimada","Cerrado - desestimada",IF(AND(M363="Aplicada",OR(P363="Pagada",P363="Incluida en expensas")),"Cerrado - multa cobrada",IF(M363="Aplicada","Multa aplicada - impaga",IF(L363&lt;&gt;"","Descargo respondido - a resolver",IF(J363="Sí","Esperando respuesta descargo","Pendiente enviar descargo"))))))</f>
        <v/>
      </c>
      <c r="T363" s="18" t="str">
        <f aca="true">IF(B363="","",TODAY()-B363)</f>
        <v/>
      </c>
    </row>
    <row r="364" customFormat="false" ht="15" hidden="false" customHeight="false" outlineLevel="0" collapsed="false">
      <c r="A364" s="11" t="str">
        <f aca="false">IF(B364="","",ROW()-3)</f>
        <v/>
      </c>
      <c r="B364" s="12"/>
      <c r="C364" s="13"/>
      <c r="D364" s="14"/>
      <c r="E364" s="11"/>
      <c r="F364" s="15"/>
      <c r="G364" s="14"/>
      <c r="H364" s="15"/>
      <c r="I364" s="15"/>
      <c r="J364" s="16"/>
      <c r="K364" s="12"/>
      <c r="L364" s="12"/>
      <c r="M364" s="16"/>
      <c r="N364" s="12"/>
      <c r="O364" s="17"/>
      <c r="P364" s="16"/>
      <c r="Q364" s="12"/>
      <c r="R364" s="15"/>
      <c r="S364" s="16" t="str">
        <f aca="false">IF(B364="","",IF(M364="Desestimada","Cerrado - desestimada",IF(AND(M364="Aplicada",OR(P364="Pagada",P364="Incluida en expensas")),"Cerrado - multa cobrada",IF(M364="Aplicada","Multa aplicada - impaga",IF(L364&lt;&gt;"","Descargo respondido - a resolver",IF(J364="Sí","Esperando respuesta descargo","Pendiente enviar descargo"))))))</f>
        <v/>
      </c>
      <c r="T364" s="18" t="str">
        <f aca="true">IF(B364="","",TODAY()-B364)</f>
        <v/>
      </c>
    </row>
    <row r="365" customFormat="false" ht="15" hidden="false" customHeight="false" outlineLevel="0" collapsed="false">
      <c r="A365" s="11" t="str">
        <f aca="false">IF(B365="","",ROW()-3)</f>
        <v/>
      </c>
      <c r="B365" s="12"/>
      <c r="C365" s="13"/>
      <c r="D365" s="14"/>
      <c r="E365" s="11"/>
      <c r="F365" s="15"/>
      <c r="G365" s="14"/>
      <c r="H365" s="15"/>
      <c r="I365" s="15"/>
      <c r="J365" s="16"/>
      <c r="K365" s="12"/>
      <c r="L365" s="12"/>
      <c r="M365" s="16"/>
      <c r="N365" s="12"/>
      <c r="O365" s="17"/>
      <c r="P365" s="16"/>
      <c r="Q365" s="12"/>
      <c r="R365" s="15"/>
      <c r="S365" s="16" t="str">
        <f aca="false">IF(B365="","",IF(M365="Desestimada","Cerrado - desestimada",IF(AND(M365="Aplicada",OR(P365="Pagada",P365="Incluida en expensas")),"Cerrado - multa cobrada",IF(M365="Aplicada","Multa aplicada - impaga",IF(L365&lt;&gt;"","Descargo respondido - a resolver",IF(J365="Sí","Esperando respuesta descargo","Pendiente enviar descargo"))))))</f>
        <v/>
      </c>
      <c r="T365" s="18" t="str">
        <f aca="true">IF(B365="","",TODAY()-B365)</f>
        <v/>
      </c>
    </row>
    <row r="366" customFormat="false" ht="15" hidden="false" customHeight="false" outlineLevel="0" collapsed="false">
      <c r="A366" s="11" t="str">
        <f aca="false">IF(B366="","",ROW()-3)</f>
        <v/>
      </c>
      <c r="B366" s="12"/>
      <c r="C366" s="13"/>
      <c r="D366" s="14"/>
      <c r="E366" s="11"/>
      <c r="F366" s="15"/>
      <c r="G366" s="14"/>
      <c r="H366" s="15"/>
      <c r="I366" s="15"/>
      <c r="J366" s="16"/>
      <c r="K366" s="12"/>
      <c r="L366" s="12"/>
      <c r="M366" s="16"/>
      <c r="N366" s="12"/>
      <c r="O366" s="17"/>
      <c r="P366" s="16"/>
      <c r="Q366" s="12"/>
      <c r="R366" s="15"/>
      <c r="S366" s="16" t="str">
        <f aca="false">IF(B366="","",IF(M366="Desestimada","Cerrado - desestimada",IF(AND(M366="Aplicada",OR(P366="Pagada",P366="Incluida en expensas")),"Cerrado - multa cobrada",IF(M366="Aplicada","Multa aplicada - impaga",IF(L366&lt;&gt;"","Descargo respondido - a resolver",IF(J366="Sí","Esperando respuesta descargo","Pendiente enviar descargo"))))))</f>
        <v/>
      </c>
      <c r="T366" s="18" t="str">
        <f aca="true">IF(B366="","",TODAY()-B366)</f>
        <v/>
      </c>
    </row>
    <row r="367" customFormat="false" ht="15" hidden="false" customHeight="false" outlineLevel="0" collapsed="false">
      <c r="A367" s="11" t="str">
        <f aca="false">IF(B367="","",ROW()-3)</f>
        <v/>
      </c>
      <c r="B367" s="12"/>
      <c r="C367" s="13"/>
      <c r="D367" s="14"/>
      <c r="E367" s="11"/>
      <c r="F367" s="15"/>
      <c r="G367" s="14"/>
      <c r="H367" s="15"/>
      <c r="I367" s="15"/>
      <c r="J367" s="16"/>
      <c r="K367" s="12"/>
      <c r="L367" s="12"/>
      <c r="M367" s="16"/>
      <c r="N367" s="12"/>
      <c r="O367" s="17"/>
      <c r="P367" s="16"/>
      <c r="Q367" s="12"/>
      <c r="R367" s="15"/>
      <c r="S367" s="16" t="str">
        <f aca="false">IF(B367="","",IF(M367="Desestimada","Cerrado - desestimada",IF(AND(M367="Aplicada",OR(P367="Pagada",P367="Incluida en expensas")),"Cerrado - multa cobrada",IF(M367="Aplicada","Multa aplicada - impaga",IF(L367&lt;&gt;"","Descargo respondido - a resolver",IF(J367="Sí","Esperando respuesta descargo","Pendiente enviar descargo"))))))</f>
        <v/>
      </c>
      <c r="T367" s="18" t="str">
        <f aca="true">IF(B367="","",TODAY()-B367)</f>
        <v/>
      </c>
    </row>
    <row r="368" customFormat="false" ht="15" hidden="false" customHeight="false" outlineLevel="0" collapsed="false">
      <c r="A368" s="11" t="str">
        <f aca="false">IF(B368="","",ROW()-3)</f>
        <v/>
      </c>
      <c r="B368" s="12"/>
      <c r="C368" s="13"/>
      <c r="D368" s="14"/>
      <c r="E368" s="11"/>
      <c r="F368" s="15"/>
      <c r="G368" s="14"/>
      <c r="H368" s="15"/>
      <c r="I368" s="15"/>
      <c r="J368" s="16"/>
      <c r="K368" s="12"/>
      <c r="L368" s="12"/>
      <c r="M368" s="16"/>
      <c r="N368" s="12"/>
      <c r="O368" s="17"/>
      <c r="P368" s="16"/>
      <c r="Q368" s="12"/>
      <c r="R368" s="15"/>
      <c r="S368" s="16" t="str">
        <f aca="false">IF(B368="","",IF(M368="Desestimada","Cerrado - desestimada",IF(AND(M368="Aplicada",OR(P368="Pagada",P368="Incluida en expensas")),"Cerrado - multa cobrada",IF(M368="Aplicada","Multa aplicada - impaga",IF(L368&lt;&gt;"","Descargo respondido - a resolver",IF(J368="Sí","Esperando respuesta descargo","Pendiente enviar descargo"))))))</f>
        <v/>
      </c>
      <c r="T368" s="18" t="str">
        <f aca="true">IF(B368="","",TODAY()-B368)</f>
        <v/>
      </c>
    </row>
    <row r="369" customFormat="false" ht="15" hidden="false" customHeight="false" outlineLevel="0" collapsed="false">
      <c r="A369" s="11" t="str">
        <f aca="false">IF(B369="","",ROW()-3)</f>
        <v/>
      </c>
      <c r="B369" s="12"/>
      <c r="C369" s="13"/>
      <c r="D369" s="14"/>
      <c r="E369" s="11"/>
      <c r="F369" s="15"/>
      <c r="G369" s="14"/>
      <c r="H369" s="15"/>
      <c r="I369" s="15"/>
      <c r="J369" s="16"/>
      <c r="K369" s="12"/>
      <c r="L369" s="12"/>
      <c r="M369" s="16"/>
      <c r="N369" s="12"/>
      <c r="O369" s="17"/>
      <c r="P369" s="16"/>
      <c r="Q369" s="12"/>
      <c r="R369" s="15"/>
      <c r="S369" s="16" t="str">
        <f aca="false">IF(B369="","",IF(M369="Desestimada","Cerrado - desestimada",IF(AND(M369="Aplicada",OR(P369="Pagada",P369="Incluida en expensas")),"Cerrado - multa cobrada",IF(M369="Aplicada","Multa aplicada - impaga",IF(L369&lt;&gt;"","Descargo respondido - a resolver",IF(J369="Sí","Esperando respuesta descargo","Pendiente enviar descargo"))))))</f>
        <v/>
      </c>
      <c r="T369" s="18" t="str">
        <f aca="true">IF(B369="","",TODAY()-B369)</f>
        <v/>
      </c>
    </row>
    <row r="370" customFormat="false" ht="15" hidden="false" customHeight="false" outlineLevel="0" collapsed="false">
      <c r="A370" s="11" t="str">
        <f aca="false">IF(B370="","",ROW()-3)</f>
        <v/>
      </c>
      <c r="B370" s="12"/>
      <c r="C370" s="13"/>
      <c r="D370" s="14"/>
      <c r="E370" s="11"/>
      <c r="F370" s="15"/>
      <c r="G370" s="14"/>
      <c r="H370" s="15"/>
      <c r="I370" s="15"/>
      <c r="J370" s="16"/>
      <c r="K370" s="12"/>
      <c r="L370" s="12"/>
      <c r="M370" s="16"/>
      <c r="N370" s="12"/>
      <c r="O370" s="17"/>
      <c r="P370" s="16"/>
      <c r="Q370" s="12"/>
      <c r="R370" s="15"/>
      <c r="S370" s="16" t="str">
        <f aca="false">IF(B370="","",IF(M370="Desestimada","Cerrado - desestimada",IF(AND(M370="Aplicada",OR(P370="Pagada",P370="Incluida en expensas")),"Cerrado - multa cobrada",IF(M370="Aplicada","Multa aplicada - impaga",IF(L370&lt;&gt;"","Descargo respondido - a resolver",IF(J370="Sí","Esperando respuesta descargo","Pendiente enviar descargo"))))))</f>
        <v/>
      </c>
      <c r="T370" s="18" t="str">
        <f aca="true">IF(B370="","",TODAY()-B370)</f>
        <v/>
      </c>
    </row>
    <row r="371" customFormat="false" ht="15" hidden="false" customHeight="false" outlineLevel="0" collapsed="false">
      <c r="A371" s="11" t="str">
        <f aca="false">IF(B371="","",ROW()-3)</f>
        <v/>
      </c>
      <c r="B371" s="12"/>
      <c r="C371" s="13"/>
      <c r="D371" s="14"/>
      <c r="E371" s="11"/>
      <c r="F371" s="15"/>
      <c r="G371" s="14"/>
      <c r="H371" s="15"/>
      <c r="I371" s="15"/>
      <c r="J371" s="16"/>
      <c r="K371" s="12"/>
      <c r="L371" s="12"/>
      <c r="M371" s="16"/>
      <c r="N371" s="12"/>
      <c r="O371" s="17"/>
      <c r="P371" s="16"/>
      <c r="Q371" s="12"/>
      <c r="R371" s="15"/>
      <c r="S371" s="16" t="str">
        <f aca="false">IF(B371="","",IF(M371="Desestimada","Cerrado - desestimada",IF(AND(M371="Aplicada",OR(P371="Pagada",P371="Incluida en expensas")),"Cerrado - multa cobrada",IF(M371="Aplicada","Multa aplicada - impaga",IF(L371&lt;&gt;"","Descargo respondido - a resolver",IF(J371="Sí","Esperando respuesta descargo","Pendiente enviar descargo"))))))</f>
        <v/>
      </c>
      <c r="T371" s="18" t="str">
        <f aca="true">IF(B371="","",TODAY()-B371)</f>
        <v/>
      </c>
    </row>
    <row r="372" customFormat="false" ht="15" hidden="false" customHeight="false" outlineLevel="0" collapsed="false">
      <c r="A372" s="11" t="str">
        <f aca="false">IF(B372="","",ROW()-3)</f>
        <v/>
      </c>
      <c r="B372" s="12"/>
      <c r="C372" s="13"/>
      <c r="D372" s="14"/>
      <c r="E372" s="11"/>
      <c r="F372" s="15"/>
      <c r="G372" s="14"/>
      <c r="H372" s="15"/>
      <c r="I372" s="15"/>
      <c r="J372" s="16"/>
      <c r="K372" s="12"/>
      <c r="L372" s="12"/>
      <c r="M372" s="16"/>
      <c r="N372" s="12"/>
      <c r="O372" s="17"/>
      <c r="P372" s="16"/>
      <c r="Q372" s="12"/>
      <c r="R372" s="15"/>
      <c r="S372" s="16" t="str">
        <f aca="false">IF(B372="","",IF(M372="Desestimada","Cerrado - desestimada",IF(AND(M372="Aplicada",OR(P372="Pagada",P372="Incluida en expensas")),"Cerrado - multa cobrada",IF(M372="Aplicada","Multa aplicada - impaga",IF(L372&lt;&gt;"","Descargo respondido - a resolver",IF(J372="Sí","Esperando respuesta descargo","Pendiente enviar descargo"))))))</f>
        <v/>
      </c>
      <c r="T372" s="18" t="str">
        <f aca="true">IF(B372="","",TODAY()-B372)</f>
        <v/>
      </c>
    </row>
    <row r="373" customFormat="false" ht="15" hidden="false" customHeight="false" outlineLevel="0" collapsed="false">
      <c r="A373" s="11" t="str">
        <f aca="false">IF(B373="","",ROW()-3)</f>
        <v/>
      </c>
      <c r="B373" s="12"/>
      <c r="C373" s="13"/>
      <c r="D373" s="14"/>
      <c r="E373" s="11"/>
      <c r="F373" s="15"/>
      <c r="G373" s="14"/>
      <c r="H373" s="15"/>
      <c r="I373" s="15"/>
      <c r="J373" s="16"/>
      <c r="K373" s="12"/>
      <c r="L373" s="12"/>
      <c r="M373" s="16"/>
      <c r="N373" s="12"/>
      <c r="O373" s="17"/>
      <c r="P373" s="16"/>
      <c r="Q373" s="12"/>
      <c r="R373" s="15"/>
      <c r="S373" s="16" t="str">
        <f aca="false">IF(B373="","",IF(M373="Desestimada","Cerrado - desestimada",IF(AND(M373="Aplicada",OR(P373="Pagada",P373="Incluida en expensas")),"Cerrado - multa cobrada",IF(M373="Aplicada","Multa aplicada - impaga",IF(L373&lt;&gt;"","Descargo respondido - a resolver",IF(J373="Sí","Esperando respuesta descargo","Pendiente enviar descargo"))))))</f>
        <v/>
      </c>
      <c r="T373" s="18" t="str">
        <f aca="true">IF(B373="","",TODAY()-B373)</f>
        <v/>
      </c>
    </row>
    <row r="374" customFormat="false" ht="15" hidden="false" customHeight="false" outlineLevel="0" collapsed="false">
      <c r="A374" s="11" t="str">
        <f aca="false">IF(B374="","",ROW()-3)</f>
        <v/>
      </c>
      <c r="B374" s="12"/>
      <c r="C374" s="13"/>
      <c r="D374" s="14"/>
      <c r="E374" s="11"/>
      <c r="F374" s="15"/>
      <c r="G374" s="14"/>
      <c r="H374" s="15"/>
      <c r="I374" s="15"/>
      <c r="J374" s="16"/>
      <c r="K374" s="12"/>
      <c r="L374" s="12"/>
      <c r="M374" s="16"/>
      <c r="N374" s="12"/>
      <c r="O374" s="17"/>
      <c r="P374" s="16"/>
      <c r="Q374" s="12"/>
      <c r="R374" s="15"/>
      <c r="S374" s="16" t="str">
        <f aca="false">IF(B374="","",IF(M374="Desestimada","Cerrado - desestimada",IF(AND(M374="Aplicada",OR(P374="Pagada",P374="Incluida en expensas")),"Cerrado - multa cobrada",IF(M374="Aplicada","Multa aplicada - impaga",IF(L374&lt;&gt;"","Descargo respondido - a resolver",IF(J374="Sí","Esperando respuesta descargo","Pendiente enviar descargo"))))))</f>
        <v/>
      </c>
      <c r="T374" s="18" t="str">
        <f aca="true">IF(B374="","",TODAY()-B374)</f>
        <v/>
      </c>
    </row>
    <row r="375" customFormat="false" ht="15" hidden="false" customHeight="false" outlineLevel="0" collapsed="false">
      <c r="A375" s="11" t="str">
        <f aca="false">IF(B375="","",ROW()-3)</f>
        <v/>
      </c>
      <c r="B375" s="12"/>
      <c r="C375" s="13"/>
      <c r="D375" s="14"/>
      <c r="E375" s="11"/>
      <c r="F375" s="15"/>
      <c r="G375" s="14"/>
      <c r="H375" s="15"/>
      <c r="I375" s="15"/>
      <c r="J375" s="16"/>
      <c r="K375" s="12"/>
      <c r="L375" s="12"/>
      <c r="M375" s="16"/>
      <c r="N375" s="12"/>
      <c r="O375" s="17"/>
      <c r="P375" s="16"/>
      <c r="Q375" s="12"/>
      <c r="R375" s="15"/>
      <c r="S375" s="16" t="str">
        <f aca="false">IF(B375="","",IF(M375="Desestimada","Cerrado - desestimada",IF(AND(M375="Aplicada",OR(P375="Pagada",P375="Incluida en expensas")),"Cerrado - multa cobrada",IF(M375="Aplicada","Multa aplicada - impaga",IF(L375&lt;&gt;"","Descargo respondido - a resolver",IF(J375="Sí","Esperando respuesta descargo","Pendiente enviar descargo"))))))</f>
        <v/>
      </c>
      <c r="T375" s="18" t="str">
        <f aca="true">IF(B375="","",TODAY()-B375)</f>
        <v/>
      </c>
    </row>
    <row r="376" customFormat="false" ht="15" hidden="false" customHeight="false" outlineLevel="0" collapsed="false">
      <c r="A376" s="11" t="str">
        <f aca="false">IF(B376="","",ROW()-3)</f>
        <v/>
      </c>
      <c r="B376" s="12"/>
      <c r="C376" s="13"/>
      <c r="D376" s="14"/>
      <c r="E376" s="11"/>
      <c r="F376" s="15"/>
      <c r="G376" s="14"/>
      <c r="H376" s="15"/>
      <c r="I376" s="15"/>
      <c r="J376" s="16"/>
      <c r="K376" s="12"/>
      <c r="L376" s="12"/>
      <c r="M376" s="16"/>
      <c r="N376" s="12"/>
      <c r="O376" s="17"/>
      <c r="P376" s="16"/>
      <c r="Q376" s="12"/>
      <c r="R376" s="15"/>
      <c r="S376" s="16" t="str">
        <f aca="false">IF(B376="","",IF(M376="Desestimada","Cerrado - desestimada",IF(AND(M376="Aplicada",OR(P376="Pagada",P376="Incluida en expensas")),"Cerrado - multa cobrada",IF(M376="Aplicada","Multa aplicada - impaga",IF(L376&lt;&gt;"","Descargo respondido - a resolver",IF(J376="Sí","Esperando respuesta descargo","Pendiente enviar descargo"))))))</f>
        <v/>
      </c>
      <c r="T376" s="18" t="str">
        <f aca="true">IF(B376="","",TODAY()-B376)</f>
        <v/>
      </c>
    </row>
    <row r="377" customFormat="false" ht="15" hidden="false" customHeight="false" outlineLevel="0" collapsed="false">
      <c r="A377" s="11" t="str">
        <f aca="false">IF(B377="","",ROW()-3)</f>
        <v/>
      </c>
      <c r="B377" s="12"/>
      <c r="C377" s="13"/>
      <c r="D377" s="14"/>
      <c r="E377" s="11"/>
      <c r="F377" s="15"/>
      <c r="G377" s="14"/>
      <c r="H377" s="15"/>
      <c r="I377" s="15"/>
      <c r="J377" s="16"/>
      <c r="K377" s="12"/>
      <c r="L377" s="12"/>
      <c r="M377" s="16"/>
      <c r="N377" s="12"/>
      <c r="O377" s="17"/>
      <c r="P377" s="16"/>
      <c r="Q377" s="12"/>
      <c r="R377" s="15"/>
      <c r="S377" s="16" t="str">
        <f aca="false">IF(B377="","",IF(M377="Desestimada","Cerrado - desestimada",IF(AND(M377="Aplicada",OR(P377="Pagada",P377="Incluida en expensas")),"Cerrado - multa cobrada",IF(M377="Aplicada","Multa aplicada - impaga",IF(L377&lt;&gt;"","Descargo respondido - a resolver",IF(J377="Sí","Esperando respuesta descargo","Pendiente enviar descargo"))))))</f>
        <v/>
      </c>
      <c r="T377" s="18" t="str">
        <f aca="true">IF(B377="","",TODAY()-B377)</f>
        <v/>
      </c>
    </row>
    <row r="378" customFormat="false" ht="15" hidden="false" customHeight="false" outlineLevel="0" collapsed="false">
      <c r="A378" s="11" t="str">
        <f aca="false">IF(B378="","",ROW()-3)</f>
        <v/>
      </c>
      <c r="B378" s="12"/>
      <c r="C378" s="13"/>
      <c r="D378" s="14"/>
      <c r="E378" s="11"/>
      <c r="F378" s="15"/>
      <c r="G378" s="14"/>
      <c r="H378" s="15"/>
      <c r="I378" s="15"/>
      <c r="J378" s="16"/>
      <c r="K378" s="12"/>
      <c r="L378" s="12"/>
      <c r="M378" s="16"/>
      <c r="N378" s="12"/>
      <c r="O378" s="17"/>
      <c r="P378" s="16"/>
      <c r="Q378" s="12"/>
      <c r="R378" s="15"/>
      <c r="S378" s="16" t="str">
        <f aca="false">IF(B378="","",IF(M378="Desestimada","Cerrado - desestimada",IF(AND(M378="Aplicada",OR(P378="Pagada",P378="Incluida en expensas")),"Cerrado - multa cobrada",IF(M378="Aplicada","Multa aplicada - impaga",IF(L378&lt;&gt;"","Descargo respondido - a resolver",IF(J378="Sí","Esperando respuesta descargo","Pendiente enviar descargo"))))))</f>
        <v/>
      </c>
      <c r="T378" s="18" t="str">
        <f aca="true">IF(B378="","",TODAY()-B378)</f>
        <v/>
      </c>
    </row>
    <row r="379" customFormat="false" ht="15" hidden="false" customHeight="false" outlineLevel="0" collapsed="false">
      <c r="A379" s="11" t="str">
        <f aca="false">IF(B379="","",ROW()-3)</f>
        <v/>
      </c>
      <c r="B379" s="12"/>
      <c r="C379" s="13"/>
      <c r="D379" s="14"/>
      <c r="E379" s="11"/>
      <c r="F379" s="15"/>
      <c r="G379" s="14"/>
      <c r="H379" s="15"/>
      <c r="I379" s="15"/>
      <c r="J379" s="16"/>
      <c r="K379" s="12"/>
      <c r="L379" s="12"/>
      <c r="M379" s="16"/>
      <c r="N379" s="12"/>
      <c r="O379" s="17"/>
      <c r="P379" s="16"/>
      <c r="Q379" s="12"/>
      <c r="R379" s="15"/>
      <c r="S379" s="16" t="str">
        <f aca="false">IF(B379="","",IF(M379="Desestimada","Cerrado - desestimada",IF(AND(M379="Aplicada",OR(P379="Pagada",P379="Incluida en expensas")),"Cerrado - multa cobrada",IF(M379="Aplicada","Multa aplicada - impaga",IF(L379&lt;&gt;"","Descargo respondido - a resolver",IF(J379="Sí","Esperando respuesta descargo","Pendiente enviar descargo"))))))</f>
        <v/>
      </c>
      <c r="T379" s="18" t="str">
        <f aca="true">IF(B379="","",TODAY()-B379)</f>
        <v/>
      </c>
    </row>
    <row r="380" customFormat="false" ht="15" hidden="false" customHeight="false" outlineLevel="0" collapsed="false">
      <c r="A380" s="11" t="str">
        <f aca="false">IF(B380="","",ROW()-3)</f>
        <v/>
      </c>
      <c r="B380" s="12"/>
      <c r="C380" s="13"/>
      <c r="D380" s="14"/>
      <c r="E380" s="11"/>
      <c r="F380" s="15"/>
      <c r="G380" s="14"/>
      <c r="H380" s="15"/>
      <c r="I380" s="15"/>
      <c r="J380" s="16"/>
      <c r="K380" s="12"/>
      <c r="L380" s="12"/>
      <c r="M380" s="16"/>
      <c r="N380" s="12"/>
      <c r="O380" s="17"/>
      <c r="P380" s="16"/>
      <c r="Q380" s="12"/>
      <c r="R380" s="15"/>
      <c r="S380" s="16" t="str">
        <f aca="false">IF(B380="","",IF(M380="Desestimada","Cerrado - desestimada",IF(AND(M380="Aplicada",OR(P380="Pagada",P380="Incluida en expensas")),"Cerrado - multa cobrada",IF(M380="Aplicada","Multa aplicada - impaga",IF(L380&lt;&gt;"","Descargo respondido - a resolver",IF(J380="Sí","Esperando respuesta descargo","Pendiente enviar descargo"))))))</f>
        <v/>
      </c>
      <c r="T380" s="18" t="str">
        <f aca="true">IF(B380="","",TODAY()-B380)</f>
        <v/>
      </c>
    </row>
    <row r="381" customFormat="false" ht="15" hidden="false" customHeight="false" outlineLevel="0" collapsed="false">
      <c r="A381" s="11" t="str">
        <f aca="false">IF(B381="","",ROW()-3)</f>
        <v/>
      </c>
      <c r="B381" s="12"/>
      <c r="C381" s="13"/>
      <c r="D381" s="14"/>
      <c r="E381" s="11"/>
      <c r="F381" s="15"/>
      <c r="G381" s="14"/>
      <c r="H381" s="15"/>
      <c r="I381" s="15"/>
      <c r="J381" s="16"/>
      <c r="K381" s="12"/>
      <c r="L381" s="12"/>
      <c r="M381" s="16"/>
      <c r="N381" s="12"/>
      <c r="O381" s="17"/>
      <c r="P381" s="16"/>
      <c r="Q381" s="12"/>
      <c r="R381" s="15"/>
      <c r="S381" s="16" t="str">
        <f aca="false">IF(B381="","",IF(M381="Desestimada","Cerrado - desestimada",IF(AND(M381="Aplicada",OR(P381="Pagada",P381="Incluida en expensas")),"Cerrado - multa cobrada",IF(M381="Aplicada","Multa aplicada - impaga",IF(L381&lt;&gt;"","Descargo respondido - a resolver",IF(J381="Sí","Esperando respuesta descargo","Pendiente enviar descargo"))))))</f>
        <v/>
      </c>
      <c r="T381" s="18" t="str">
        <f aca="true">IF(B381="","",TODAY()-B381)</f>
        <v/>
      </c>
    </row>
    <row r="382" customFormat="false" ht="15" hidden="false" customHeight="false" outlineLevel="0" collapsed="false">
      <c r="A382" s="11" t="str">
        <f aca="false">IF(B382="","",ROW()-3)</f>
        <v/>
      </c>
      <c r="B382" s="12"/>
      <c r="C382" s="13"/>
      <c r="D382" s="14"/>
      <c r="E382" s="11"/>
      <c r="F382" s="15"/>
      <c r="G382" s="14"/>
      <c r="H382" s="15"/>
      <c r="I382" s="15"/>
      <c r="J382" s="16"/>
      <c r="K382" s="12"/>
      <c r="L382" s="12"/>
      <c r="M382" s="16"/>
      <c r="N382" s="12"/>
      <c r="O382" s="17"/>
      <c r="P382" s="16"/>
      <c r="Q382" s="12"/>
      <c r="R382" s="15"/>
      <c r="S382" s="16" t="str">
        <f aca="false">IF(B382="","",IF(M382="Desestimada","Cerrado - desestimada",IF(AND(M382="Aplicada",OR(P382="Pagada",P382="Incluida en expensas")),"Cerrado - multa cobrada",IF(M382="Aplicada","Multa aplicada - impaga",IF(L382&lt;&gt;"","Descargo respondido - a resolver",IF(J382="Sí","Esperando respuesta descargo","Pendiente enviar descargo"))))))</f>
        <v/>
      </c>
      <c r="T382" s="18" t="str">
        <f aca="true">IF(B382="","",TODAY()-B382)</f>
        <v/>
      </c>
    </row>
    <row r="383" customFormat="false" ht="15" hidden="false" customHeight="false" outlineLevel="0" collapsed="false">
      <c r="A383" s="11" t="str">
        <f aca="false">IF(B383="","",ROW()-3)</f>
        <v/>
      </c>
      <c r="B383" s="12"/>
      <c r="C383" s="13"/>
      <c r="D383" s="14"/>
      <c r="E383" s="11"/>
      <c r="F383" s="15"/>
      <c r="G383" s="14"/>
      <c r="H383" s="15"/>
      <c r="I383" s="15"/>
      <c r="J383" s="16"/>
      <c r="K383" s="12"/>
      <c r="L383" s="12"/>
      <c r="M383" s="16"/>
      <c r="N383" s="12"/>
      <c r="O383" s="17"/>
      <c r="P383" s="16"/>
      <c r="Q383" s="12"/>
      <c r="R383" s="15"/>
      <c r="S383" s="16" t="str">
        <f aca="false">IF(B383="","",IF(M383="Desestimada","Cerrado - desestimada",IF(AND(M383="Aplicada",OR(P383="Pagada",P383="Incluida en expensas")),"Cerrado - multa cobrada",IF(M383="Aplicada","Multa aplicada - impaga",IF(L383&lt;&gt;"","Descargo respondido - a resolver",IF(J383="Sí","Esperando respuesta descargo","Pendiente enviar descargo"))))))</f>
        <v/>
      </c>
      <c r="T383" s="18" t="str">
        <f aca="true">IF(B383="","",TODAY()-B383)</f>
        <v/>
      </c>
    </row>
    <row r="384" customFormat="false" ht="15" hidden="false" customHeight="false" outlineLevel="0" collapsed="false">
      <c r="A384" s="11" t="str">
        <f aca="false">IF(B384="","",ROW()-3)</f>
        <v/>
      </c>
      <c r="B384" s="12"/>
      <c r="C384" s="13"/>
      <c r="D384" s="14"/>
      <c r="E384" s="11"/>
      <c r="F384" s="15"/>
      <c r="G384" s="14"/>
      <c r="H384" s="15"/>
      <c r="I384" s="15"/>
      <c r="J384" s="16"/>
      <c r="K384" s="12"/>
      <c r="L384" s="12"/>
      <c r="M384" s="16"/>
      <c r="N384" s="12"/>
      <c r="O384" s="17"/>
      <c r="P384" s="16"/>
      <c r="Q384" s="12"/>
      <c r="R384" s="15"/>
      <c r="S384" s="16" t="str">
        <f aca="false">IF(B384="","",IF(M384="Desestimada","Cerrado - desestimada",IF(AND(M384="Aplicada",OR(P384="Pagada",P384="Incluida en expensas")),"Cerrado - multa cobrada",IF(M384="Aplicada","Multa aplicada - impaga",IF(L384&lt;&gt;"","Descargo respondido - a resolver",IF(J384="Sí","Esperando respuesta descargo","Pendiente enviar descargo"))))))</f>
        <v/>
      </c>
      <c r="T384" s="18" t="str">
        <f aca="true">IF(B384="","",TODAY()-B384)</f>
        <v/>
      </c>
    </row>
    <row r="385" customFormat="false" ht="15" hidden="false" customHeight="false" outlineLevel="0" collapsed="false">
      <c r="A385" s="11" t="str">
        <f aca="false">IF(B385="","",ROW()-3)</f>
        <v/>
      </c>
      <c r="B385" s="12"/>
      <c r="C385" s="13"/>
      <c r="D385" s="14"/>
      <c r="E385" s="11"/>
      <c r="F385" s="15"/>
      <c r="G385" s="14"/>
      <c r="H385" s="15"/>
      <c r="I385" s="15"/>
      <c r="J385" s="16"/>
      <c r="K385" s="12"/>
      <c r="L385" s="12"/>
      <c r="M385" s="16"/>
      <c r="N385" s="12"/>
      <c r="O385" s="17"/>
      <c r="P385" s="16"/>
      <c r="Q385" s="12"/>
      <c r="R385" s="15"/>
      <c r="S385" s="16" t="str">
        <f aca="false">IF(B385="","",IF(M385="Desestimada","Cerrado - desestimada",IF(AND(M385="Aplicada",OR(P385="Pagada",P385="Incluida en expensas")),"Cerrado - multa cobrada",IF(M385="Aplicada","Multa aplicada - impaga",IF(L385&lt;&gt;"","Descargo respondido - a resolver",IF(J385="Sí","Esperando respuesta descargo","Pendiente enviar descargo"))))))</f>
        <v/>
      </c>
      <c r="T385" s="18" t="str">
        <f aca="true">IF(B385="","",TODAY()-B385)</f>
        <v/>
      </c>
    </row>
    <row r="386" customFormat="false" ht="15" hidden="false" customHeight="false" outlineLevel="0" collapsed="false">
      <c r="A386" s="11" t="str">
        <f aca="false">IF(B386="","",ROW()-3)</f>
        <v/>
      </c>
      <c r="B386" s="12"/>
      <c r="C386" s="13"/>
      <c r="D386" s="14"/>
      <c r="E386" s="11"/>
      <c r="F386" s="15"/>
      <c r="G386" s="14"/>
      <c r="H386" s="15"/>
      <c r="I386" s="15"/>
      <c r="J386" s="16"/>
      <c r="K386" s="12"/>
      <c r="L386" s="12"/>
      <c r="M386" s="16"/>
      <c r="N386" s="12"/>
      <c r="O386" s="17"/>
      <c r="P386" s="16"/>
      <c r="Q386" s="12"/>
      <c r="R386" s="15"/>
      <c r="S386" s="16" t="str">
        <f aca="false">IF(B386="","",IF(M386="Desestimada","Cerrado - desestimada",IF(AND(M386="Aplicada",OR(P386="Pagada",P386="Incluida en expensas")),"Cerrado - multa cobrada",IF(M386="Aplicada","Multa aplicada - impaga",IF(L386&lt;&gt;"","Descargo respondido - a resolver",IF(J386="Sí","Esperando respuesta descargo","Pendiente enviar descargo"))))))</f>
        <v/>
      </c>
      <c r="T386" s="18" t="str">
        <f aca="true">IF(B386="","",TODAY()-B386)</f>
        <v/>
      </c>
    </row>
    <row r="387" customFormat="false" ht="15" hidden="false" customHeight="false" outlineLevel="0" collapsed="false">
      <c r="A387" s="11" t="str">
        <f aca="false">IF(B387="","",ROW()-3)</f>
        <v/>
      </c>
      <c r="B387" s="12"/>
      <c r="C387" s="13"/>
      <c r="D387" s="14"/>
      <c r="E387" s="11"/>
      <c r="F387" s="15"/>
      <c r="G387" s="14"/>
      <c r="H387" s="15"/>
      <c r="I387" s="15"/>
      <c r="J387" s="16"/>
      <c r="K387" s="12"/>
      <c r="L387" s="12"/>
      <c r="M387" s="16"/>
      <c r="N387" s="12"/>
      <c r="O387" s="17"/>
      <c r="P387" s="16"/>
      <c r="Q387" s="12"/>
      <c r="R387" s="15"/>
      <c r="S387" s="16" t="str">
        <f aca="false">IF(B387="","",IF(M387="Desestimada","Cerrado - desestimada",IF(AND(M387="Aplicada",OR(P387="Pagada",P387="Incluida en expensas")),"Cerrado - multa cobrada",IF(M387="Aplicada","Multa aplicada - impaga",IF(L387&lt;&gt;"","Descargo respondido - a resolver",IF(J387="Sí","Esperando respuesta descargo","Pendiente enviar descargo"))))))</f>
        <v/>
      </c>
      <c r="T387" s="18" t="str">
        <f aca="true">IF(B387="","",TODAY()-B387)</f>
        <v/>
      </c>
    </row>
    <row r="388" customFormat="false" ht="15" hidden="false" customHeight="false" outlineLevel="0" collapsed="false">
      <c r="A388" s="11" t="str">
        <f aca="false">IF(B388="","",ROW()-3)</f>
        <v/>
      </c>
      <c r="B388" s="12"/>
      <c r="C388" s="13"/>
      <c r="D388" s="14"/>
      <c r="E388" s="11"/>
      <c r="F388" s="15"/>
      <c r="G388" s="14"/>
      <c r="H388" s="15"/>
      <c r="I388" s="15"/>
      <c r="J388" s="16"/>
      <c r="K388" s="12"/>
      <c r="L388" s="12"/>
      <c r="M388" s="16"/>
      <c r="N388" s="12"/>
      <c r="O388" s="17"/>
      <c r="P388" s="16"/>
      <c r="Q388" s="12"/>
      <c r="R388" s="15"/>
      <c r="S388" s="16" t="str">
        <f aca="false">IF(B388="","",IF(M388="Desestimada","Cerrado - desestimada",IF(AND(M388="Aplicada",OR(P388="Pagada",P388="Incluida en expensas")),"Cerrado - multa cobrada",IF(M388="Aplicada","Multa aplicada - impaga",IF(L388&lt;&gt;"","Descargo respondido - a resolver",IF(J388="Sí","Esperando respuesta descargo","Pendiente enviar descargo"))))))</f>
        <v/>
      </c>
      <c r="T388" s="18" t="str">
        <f aca="true">IF(B388="","",TODAY()-B388)</f>
        <v/>
      </c>
    </row>
    <row r="389" customFormat="false" ht="15" hidden="false" customHeight="false" outlineLevel="0" collapsed="false">
      <c r="A389" s="11" t="str">
        <f aca="false">IF(B389="","",ROW()-3)</f>
        <v/>
      </c>
      <c r="B389" s="12"/>
      <c r="C389" s="13"/>
      <c r="D389" s="14"/>
      <c r="E389" s="11"/>
      <c r="F389" s="15"/>
      <c r="G389" s="14"/>
      <c r="H389" s="15"/>
      <c r="I389" s="15"/>
      <c r="J389" s="16"/>
      <c r="K389" s="12"/>
      <c r="L389" s="12"/>
      <c r="M389" s="16"/>
      <c r="N389" s="12"/>
      <c r="O389" s="17"/>
      <c r="P389" s="16"/>
      <c r="Q389" s="12"/>
      <c r="R389" s="15"/>
      <c r="S389" s="16" t="str">
        <f aca="false">IF(B389="","",IF(M389="Desestimada","Cerrado - desestimada",IF(AND(M389="Aplicada",OR(P389="Pagada",P389="Incluida en expensas")),"Cerrado - multa cobrada",IF(M389="Aplicada","Multa aplicada - impaga",IF(L389&lt;&gt;"","Descargo respondido - a resolver",IF(J389="Sí","Esperando respuesta descargo","Pendiente enviar descargo"))))))</f>
        <v/>
      </c>
      <c r="T389" s="18" t="str">
        <f aca="true">IF(B389="","",TODAY()-B389)</f>
        <v/>
      </c>
    </row>
    <row r="390" customFormat="false" ht="15" hidden="false" customHeight="false" outlineLevel="0" collapsed="false">
      <c r="A390" s="11" t="str">
        <f aca="false">IF(B390="","",ROW()-3)</f>
        <v/>
      </c>
      <c r="B390" s="12"/>
      <c r="C390" s="13"/>
      <c r="D390" s="14"/>
      <c r="E390" s="11"/>
      <c r="F390" s="15"/>
      <c r="G390" s="14"/>
      <c r="H390" s="15"/>
      <c r="I390" s="15"/>
      <c r="J390" s="16"/>
      <c r="K390" s="12"/>
      <c r="L390" s="12"/>
      <c r="M390" s="16"/>
      <c r="N390" s="12"/>
      <c r="O390" s="17"/>
      <c r="P390" s="16"/>
      <c r="Q390" s="12"/>
      <c r="R390" s="15"/>
      <c r="S390" s="16" t="str">
        <f aca="false">IF(B390="","",IF(M390="Desestimada","Cerrado - desestimada",IF(AND(M390="Aplicada",OR(P390="Pagada",P390="Incluida en expensas")),"Cerrado - multa cobrada",IF(M390="Aplicada","Multa aplicada - impaga",IF(L390&lt;&gt;"","Descargo respondido - a resolver",IF(J390="Sí","Esperando respuesta descargo","Pendiente enviar descargo"))))))</f>
        <v/>
      </c>
      <c r="T390" s="18" t="str">
        <f aca="true">IF(B390="","",TODAY()-B390)</f>
        <v/>
      </c>
    </row>
    <row r="391" customFormat="false" ht="15" hidden="false" customHeight="false" outlineLevel="0" collapsed="false">
      <c r="A391" s="11" t="str">
        <f aca="false">IF(B391="","",ROW()-3)</f>
        <v/>
      </c>
      <c r="B391" s="12"/>
      <c r="C391" s="13"/>
      <c r="D391" s="14"/>
      <c r="E391" s="11"/>
      <c r="F391" s="15"/>
      <c r="G391" s="14"/>
      <c r="H391" s="15"/>
      <c r="I391" s="15"/>
      <c r="J391" s="16"/>
      <c r="K391" s="12"/>
      <c r="L391" s="12"/>
      <c r="M391" s="16"/>
      <c r="N391" s="12"/>
      <c r="O391" s="17"/>
      <c r="P391" s="16"/>
      <c r="Q391" s="12"/>
      <c r="R391" s="15"/>
      <c r="S391" s="16" t="str">
        <f aca="false">IF(B391="","",IF(M391="Desestimada","Cerrado - desestimada",IF(AND(M391="Aplicada",OR(P391="Pagada",P391="Incluida en expensas")),"Cerrado - multa cobrada",IF(M391="Aplicada","Multa aplicada - impaga",IF(L391&lt;&gt;"","Descargo respondido - a resolver",IF(J391="Sí","Esperando respuesta descargo","Pendiente enviar descargo"))))))</f>
        <v/>
      </c>
      <c r="T391" s="18" t="str">
        <f aca="true">IF(B391="","",TODAY()-B391)</f>
        <v/>
      </c>
    </row>
    <row r="392" customFormat="false" ht="15" hidden="false" customHeight="false" outlineLevel="0" collapsed="false">
      <c r="A392" s="11" t="str">
        <f aca="false">IF(B392="","",ROW()-3)</f>
        <v/>
      </c>
      <c r="B392" s="12"/>
      <c r="C392" s="13"/>
      <c r="D392" s="14"/>
      <c r="E392" s="11"/>
      <c r="F392" s="15"/>
      <c r="G392" s="14"/>
      <c r="H392" s="15"/>
      <c r="I392" s="15"/>
      <c r="J392" s="16"/>
      <c r="K392" s="12"/>
      <c r="L392" s="12"/>
      <c r="M392" s="16"/>
      <c r="N392" s="12"/>
      <c r="O392" s="17"/>
      <c r="P392" s="16"/>
      <c r="Q392" s="12"/>
      <c r="R392" s="15"/>
      <c r="S392" s="16" t="str">
        <f aca="false">IF(B392="","",IF(M392="Desestimada","Cerrado - desestimada",IF(AND(M392="Aplicada",OR(P392="Pagada",P392="Incluida en expensas")),"Cerrado - multa cobrada",IF(M392="Aplicada","Multa aplicada - impaga",IF(L392&lt;&gt;"","Descargo respondido - a resolver",IF(J392="Sí","Esperando respuesta descargo","Pendiente enviar descargo"))))))</f>
        <v/>
      </c>
      <c r="T392" s="18" t="str">
        <f aca="true">IF(B392="","",TODAY()-B392)</f>
        <v/>
      </c>
    </row>
    <row r="393" customFormat="false" ht="15" hidden="false" customHeight="false" outlineLevel="0" collapsed="false">
      <c r="A393" s="11" t="str">
        <f aca="false">IF(B393="","",ROW()-3)</f>
        <v/>
      </c>
      <c r="B393" s="12"/>
      <c r="C393" s="13"/>
      <c r="D393" s="14"/>
      <c r="E393" s="11"/>
      <c r="F393" s="15"/>
      <c r="G393" s="14"/>
      <c r="H393" s="15"/>
      <c r="I393" s="15"/>
      <c r="J393" s="16"/>
      <c r="K393" s="12"/>
      <c r="L393" s="12"/>
      <c r="M393" s="16"/>
      <c r="N393" s="12"/>
      <c r="O393" s="17"/>
      <c r="P393" s="16"/>
      <c r="Q393" s="12"/>
      <c r="R393" s="15"/>
      <c r="S393" s="16" t="str">
        <f aca="false">IF(B393="","",IF(M393="Desestimada","Cerrado - desestimada",IF(AND(M393="Aplicada",OR(P393="Pagada",P393="Incluida en expensas")),"Cerrado - multa cobrada",IF(M393="Aplicada","Multa aplicada - impaga",IF(L393&lt;&gt;"","Descargo respondido - a resolver",IF(J393="Sí","Esperando respuesta descargo","Pendiente enviar descargo"))))))</f>
        <v/>
      </c>
      <c r="T393" s="18" t="str">
        <f aca="true">IF(B393="","",TODAY()-B393)</f>
        <v/>
      </c>
    </row>
    <row r="394" customFormat="false" ht="15" hidden="false" customHeight="false" outlineLevel="0" collapsed="false">
      <c r="A394" s="11" t="str">
        <f aca="false">IF(B394="","",ROW()-3)</f>
        <v/>
      </c>
      <c r="B394" s="12"/>
      <c r="C394" s="13"/>
      <c r="D394" s="14"/>
      <c r="E394" s="11"/>
      <c r="F394" s="15"/>
      <c r="G394" s="14"/>
      <c r="H394" s="15"/>
      <c r="I394" s="15"/>
      <c r="J394" s="16"/>
      <c r="K394" s="12"/>
      <c r="L394" s="12"/>
      <c r="M394" s="16"/>
      <c r="N394" s="12"/>
      <c r="O394" s="17"/>
      <c r="P394" s="16"/>
      <c r="Q394" s="12"/>
      <c r="R394" s="15"/>
      <c r="S394" s="16" t="str">
        <f aca="false">IF(B394="","",IF(M394="Desestimada","Cerrado - desestimada",IF(AND(M394="Aplicada",OR(P394="Pagada",P394="Incluida en expensas")),"Cerrado - multa cobrada",IF(M394="Aplicada","Multa aplicada - impaga",IF(L394&lt;&gt;"","Descargo respondido - a resolver",IF(J394="Sí","Esperando respuesta descargo","Pendiente enviar descargo"))))))</f>
        <v/>
      </c>
      <c r="T394" s="18" t="str">
        <f aca="true">IF(B394="","",TODAY()-B394)</f>
        <v/>
      </c>
    </row>
    <row r="395" customFormat="false" ht="15" hidden="false" customHeight="false" outlineLevel="0" collapsed="false">
      <c r="A395" s="11" t="str">
        <f aca="false">IF(B395="","",ROW()-3)</f>
        <v/>
      </c>
      <c r="B395" s="12"/>
      <c r="C395" s="13"/>
      <c r="D395" s="14"/>
      <c r="E395" s="11"/>
      <c r="F395" s="15"/>
      <c r="G395" s="14"/>
      <c r="H395" s="15"/>
      <c r="I395" s="15"/>
      <c r="J395" s="16"/>
      <c r="K395" s="12"/>
      <c r="L395" s="12"/>
      <c r="M395" s="16"/>
      <c r="N395" s="12"/>
      <c r="O395" s="17"/>
      <c r="P395" s="16"/>
      <c r="Q395" s="12"/>
      <c r="R395" s="15"/>
      <c r="S395" s="16" t="str">
        <f aca="false">IF(B395="","",IF(M395="Desestimada","Cerrado - desestimada",IF(AND(M395="Aplicada",OR(P395="Pagada",P395="Incluida en expensas")),"Cerrado - multa cobrada",IF(M395="Aplicada","Multa aplicada - impaga",IF(L395&lt;&gt;"","Descargo respondido - a resolver",IF(J395="Sí","Esperando respuesta descargo","Pendiente enviar descargo"))))))</f>
        <v/>
      </c>
      <c r="T395" s="18" t="str">
        <f aca="true">IF(B395="","",TODAY()-B395)</f>
        <v/>
      </c>
    </row>
    <row r="396" customFormat="false" ht="15" hidden="false" customHeight="false" outlineLevel="0" collapsed="false">
      <c r="A396" s="11" t="str">
        <f aca="false">IF(B396="","",ROW()-3)</f>
        <v/>
      </c>
      <c r="B396" s="12"/>
      <c r="C396" s="13"/>
      <c r="D396" s="14"/>
      <c r="E396" s="11"/>
      <c r="F396" s="15"/>
      <c r="G396" s="14"/>
      <c r="H396" s="15"/>
      <c r="I396" s="15"/>
      <c r="J396" s="16"/>
      <c r="K396" s="12"/>
      <c r="L396" s="12"/>
      <c r="M396" s="16"/>
      <c r="N396" s="12"/>
      <c r="O396" s="17"/>
      <c r="P396" s="16"/>
      <c r="Q396" s="12"/>
      <c r="R396" s="15"/>
      <c r="S396" s="16" t="str">
        <f aca="false">IF(B396="","",IF(M396="Desestimada","Cerrado - desestimada",IF(AND(M396="Aplicada",OR(P396="Pagada",P396="Incluida en expensas")),"Cerrado - multa cobrada",IF(M396="Aplicada","Multa aplicada - impaga",IF(L396&lt;&gt;"","Descargo respondido - a resolver",IF(J396="Sí","Esperando respuesta descargo","Pendiente enviar descargo"))))))</f>
        <v/>
      </c>
      <c r="T396" s="18" t="str">
        <f aca="true">IF(B396="","",TODAY()-B396)</f>
        <v/>
      </c>
    </row>
    <row r="397" customFormat="false" ht="15" hidden="false" customHeight="false" outlineLevel="0" collapsed="false">
      <c r="A397" s="11" t="str">
        <f aca="false">IF(B397="","",ROW()-3)</f>
        <v/>
      </c>
      <c r="B397" s="12"/>
      <c r="C397" s="13"/>
      <c r="D397" s="14"/>
      <c r="E397" s="11"/>
      <c r="F397" s="15"/>
      <c r="G397" s="14"/>
      <c r="H397" s="15"/>
      <c r="I397" s="15"/>
      <c r="J397" s="16"/>
      <c r="K397" s="12"/>
      <c r="L397" s="12"/>
      <c r="M397" s="16"/>
      <c r="N397" s="12"/>
      <c r="O397" s="17"/>
      <c r="P397" s="16"/>
      <c r="Q397" s="12"/>
      <c r="R397" s="15"/>
      <c r="S397" s="16" t="str">
        <f aca="false">IF(B397="","",IF(M397="Desestimada","Cerrado - desestimada",IF(AND(M397="Aplicada",OR(P397="Pagada",P397="Incluida en expensas")),"Cerrado - multa cobrada",IF(M397="Aplicada","Multa aplicada - impaga",IF(L397&lt;&gt;"","Descargo respondido - a resolver",IF(J397="Sí","Esperando respuesta descargo","Pendiente enviar descargo"))))))</f>
        <v/>
      </c>
      <c r="T397" s="18" t="str">
        <f aca="true">IF(B397="","",TODAY()-B397)</f>
        <v/>
      </c>
    </row>
    <row r="398" customFormat="false" ht="15" hidden="false" customHeight="false" outlineLevel="0" collapsed="false">
      <c r="A398" s="11" t="str">
        <f aca="false">IF(B398="","",ROW()-3)</f>
        <v/>
      </c>
      <c r="B398" s="12"/>
      <c r="C398" s="13"/>
      <c r="D398" s="14"/>
      <c r="E398" s="11"/>
      <c r="F398" s="15"/>
      <c r="G398" s="14"/>
      <c r="H398" s="15"/>
      <c r="I398" s="15"/>
      <c r="J398" s="16"/>
      <c r="K398" s="12"/>
      <c r="L398" s="12"/>
      <c r="M398" s="16"/>
      <c r="N398" s="12"/>
      <c r="O398" s="17"/>
      <c r="P398" s="16"/>
      <c r="Q398" s="12"/>
      <c r="R398" s="15"/>
      <c r="S398" s="16" t="str">
        <f aca="false">IF(B398="","",IF(M398="Desestimada","Cerrado - desestimada",IF(AND(M398="Aplicada",OR(P398="Pagada",P398="Incluida en expensas")),"Cerrado - multa cobrada",IF(M398="Aplicada","Multa aplicada - impaga",IF(L398&lt;&gt;"","Descargo respondido - a resolver",IF(J398="Sí","Esperando respuesta descargo","Pendiente enviar descargo"))))))</f>
        <v/>
      </c>
      <c r="T398" s="18" t="str">
        <f aca="true">IF(B398="","",TODAY()-B398)</f>
        <v/>
      </c>
    </row>
    <row r="399" customFormat="false" ht="15" hidden="false" customHeight="false" outlineLevel="0" collapsed="false">
      <c r="A399" s="11" t="str">
        <f aca="false">IF(B399="","",ROW()-3)</f>
        <v/>
      </c>
      <c r="B399" s="12"/>
      <c r="C399" s="13"/>
      <c r="D399" s="14"/>
      <c r="E399" s="11"/>
      <c r="F399" s="15"/>
      <c r="G399" s="14"/>
      <c r="H399" s="15"/>
      <c r="I399" s="15"/>
      <c r="J399" s="16"/>
      <c r="K399" s="12"/>
      <c r="L399" s="12"/>
      <c r="M399" s="16"/>
      <c r="N399" s="12"/>
      <c r="O399" s="17"/>
      <c r="P399" s="16"/>
      <c r="Q399" s="12"/>
      <c r="R399" s="15"/>
      <c r="S399" s="16" t="str">
        <f aca="false">IF(B399="","",IF(M399="Desestimada","Cerrado - desestimada",IF(AND(M399="Aplicada",OR(P399="Pagada",P399="Incluida en expensas")),"Cerrado - multa cobrada",IF(M399="Aplicada","Multa aplicada - impaga",IF(L399&lt;&gt;"","Descargo respondido - a resolver",IF(J399="Sí","Esperando respuesta descargo","Pendiente enviar descargo"))))))</f>
        <v/>
      </c>
      <c r="T399" s="18" t="str">
        <f aca="true">IF(B399="","",TODAY()-B399)</f>
        <v/>
      </c>
    </row>
    <row r="400" customFormat="false" ht="15" hidden="false" customHeight="false" outlineLevel="0" collapsed="false">
      <c r="A400" s="11" t="str">
        <f aca="false">IF(B400="","",ROW()-3)</f>
        <v/>
      </c>
      <c r="B400" s="12"/>
      <c r="C400" s="13"/>
      <c r="D400" s="14"/>
      <c r="E400" s="11"/>
      <c r="F400" s="15"/>
      <c r="G400" s="14"/>
      <c r="H400" s="15"/>
      <c r="I400" s="15"/>
      <c r="J400" s="16"/>
      <c r="K400" s="12"/>
      <c r="L400" s="12"/>
      <c r="M400" s="16"/>
      <c r="N400" s="12"/>
      <c r="O400" s="17"/>
      <c r="P400" s="16"/>
      <c r="Q400" s="12"/>
      <c r="R400" s="15"/>
      <c r="S400" s="16" t="str">
        <f aca="false">IF(B400="","",IF(M400="Desestimada","Cerrado - desestimada",IF(AND(M400="Aplicada",OR(P400="Pagada",P400="Incluida en expensas")),"Cerrado - multa cobrada",IF(M400="Aplicada","Multa aplicada - impaga",IF(L400&lt;&gt;"","Descargo respondido - a resolver",IF(J400="Sí","Esperando respuesta descargo","Pendiente enviar descargo"))))))</f>
        <v/>
      </c>
      <c r="T400" s="18" t="str">
        <f aca="true">IF(B400="","",TODAY()-B400)</f>
        <v/>
      </c>
    </row>
    <row r="401" customFormat="false" ht="15" hidden="false" customHeight="false" outlineLevel="0" collapsed="false">
      <c r="A401" s="11" t="str">
        <f aca="false">IF(B401="","",ROW()-3)</f>
        <v/>
      </c>
      <c r="B401" s="12"/>
      <c r="C401" s="13"/>
      <c r="D401" s="14"/>
      <c r="E401" s="11"/>
      <c r="F401" s="15"/>
      <c r="G401" s="14"/>
      <c r="H401" s="15"/>
      <c r="I401" s="15"/>
      <c r="J401" s="16"/>
      <c r="K401" s="12"/>
      <c r="L401" s="12"/>
      <c r="M401" s="16"/>
      <c r="N401" s="12"/>
      <c r="O401" s="17"/>
      <c r="P401" s="16"/>
      <c r="Q401" s="12"/>
      <c r="R401" s="15"/>
      <c r="S401" s="16" t="str">
        <f aca="false">IF(B401="","",IF(M401="Desestimada","Cerrado - desestimada",IF(AND(M401="Aplicada",OR(P401="Pagada",P401="Incluida en expensas")),"Cerrado - multa cobrada",IF(M401="Aplicada","Multa aplicada - impaga",IF(L401&lt;&gt;"","Descargo respondido - a resolver",IF(J401="Sí","Esperando respuesta descargo","Pendiente enviar descargo"))))))</f>
        <v/>
      </c>
      <c r="T401" s="18" t="str">
        <f aca="true">IF(B401="","",TODAY()-B401)</f>
        <v/>
      </c>
    </row>
    <row r="402" customFormat="false" ht="15" hidden="false" customHeight="false" outlineLevel="0" collapsed="false">
      <c r="A402" s="11" t="str">
        <f aca="false">IF(B402="","",ROW()-3)</f>
        <v/>
      </c>
      <c r="B402" s="12"/>
      <c r="C402" s="13"/>
      <c r="D402" s="14"/>
      <c r="E402" s="11"/>
      <c r="F402" s="15"/>
      <c r="G402" s="14"/>
      <c r="H402" s="15"/>
      <c r="I402" s="15"/>
      <c r="J402" s="16"/>
      <c r="K402" s="12"/>
      <c r="L402" s="12"/>
      <c r="M402" s="16"/>
      <c r="N402" s="12"/>
      <c r="O402" s="17"/>
      <c r="P402" s="16"/>
      <c r="Q402" s="12"/>
      <c r="R402" s="15"/>
      <c r="S402" s="16" t="str">
        <f aca="false">IF(B402="","",IF(M402="Desestimada","Cerrado - desestimada",IF(AND(M402="Aplicada",OR(P402="Pagada",P402="Incluida en expensas")),"Cerrado - multa cobrada",IF(M402="Aplicada","Multa aplicada - impaga",IF(L402&lt;&gt;"","Descargo respondido - a resolver",IF(J402="Sí","Esperando respuesta descargo","Pendiente enviar descargo"))))))</f>
        <v/>
      </c>
      <c r="T402" s="18" t="str">
        <f aca="true">IF(B402="","",TODAY()-B402)</f>
        <v/>
      </c>
    </row>
    <row r="403" customFormat="false" ht="15" hidden="false" customHeight="false" outlineLevel="0" collapsed="false">
      <c r="A403" s="11" t="str">
        <f aca="false">IF(B403="","",ROW()-3)</f>
        <v/>
      </c>
      <c r="B403" s="12"/>
      <c r="C403" s="13"/>
      <c r="D403" s="14"/>
      <c r="E403" s="11"/>
      <c r="F403" s="15"/>
      <c r="G403" s="14"/>
      <c r="H403" s="15"/>
      <c r="I403" s="15"/>
      <c r="J403" s="16"/>
      <c r="K403" s="12"/>
      <c r="L403" s="12"/>
      <c r="M403" s="16"/>
      <c r="N403" s="12"/>
      <c r="O403" s="17"/>
      <c r="P403" s="16"/>
      <c r="Q403" s="12"/>
      <c r="R403" s="15"/>
      <c r="S403" s="16" t="str">
        <f aca="false">IF(B403="","",IF(M403="Desestimada","Cerrado - desestimada",IF(AND(M403="Aplicada",OR(P403="Pagada",P403="Incluida en expensas")),"Cerrado - multa cobrada",IF(M403="Aplicada","Multa aplicada - impaga",IF(L403&lt;&gt;"","Descargo respondido - a resolver",IF(J403="Sí","Esperando respuesta descargo","Pendiente enviar descargo"))))))</f>
        <v/>
      </c>
      <c r="T403" s="18" t="str">
        <f aca="true">IF(B403="","",TODAY()-B403)</f>
        <v/>
      </c>
    </row>
    <row r="404" customFormat="false" ht="15" hidden="false" customHeight="false" outlineLevel="0" collapsed="false">
      <c r="A404" s="11" t="str">
        <f aca="false">IF(B404="","",ROW()-3)</f>
        <v/>
      </c>
      <c r="B404" s="12"/>
      <c r="C404" s="13"/>
      <c r="D404" s="14"/>
      <c r="E404" s="11"/>
      <c r="F404" s="15"/>
      <c r="G404" s="14"/>
      <c r="H404" s="15"/>
      <c r="I404" s="15"/>
      <c r="J404" s="16"/>
      <c r="K404" s="12"/>
      <c r="L404" s="12"/>
      <c r="M404" s="16"/>
      <c r="N404" s="12"/>
      <c r="O404" s="17"/>
      <c r="P404" s="16"/>
      <c r="Q404" s="12"/>
      <c r="R404" s="15"/>
      <c r="S404" s="16" t="str">
        <f aca="false">IF(B404="","",IF(M404="Desestimada","Cerrado - desestimada",IF(AND(M404="Aplicada",OR(P404="Pagada",P404="Incluida en expensas")),"Cerrado - multa cobrada",IF(M404="Aplicada","Multa aplicada - impaga",IF(L404&lt;&gt;"","Descargo respondido - a resolver",IF(J404="Sí","Esperando respuesta descargo","Pendiente enviar descargo"))))))</f>
        <v/>
      </c>
      <c r="T404" s="18" t="str">
        <f aca="true">IF(B404="","",TODAY()-B404)</f>
        <v/>
      </c>
    </row>
    <row r="405" customFormat="false" ht="15" hidden="false" customHeight="false" outlineLevel="0" collapsed="false">
      <c r="A405" s="11" t="str">
        <f aca="false">IF(B405="","",ROW()-3)</f>
        <v/>
      </c>
      <c r="B405" s="12"/>
      <c r="C405" s="13"/>
      <c r="D405" s="14"/>
      <c r="E405" s="11"/>
      <c r="F405" s="15"/>
      <c r="G405" s="14"/>
      <c r="H405" s="15"/>
      <c r="I405" s="15"/>
      <c r="J405" s="16"/>
      <c r="K405" s="12"/>
      <c r="L405" s="12"/>
      <c r="M405" s="16"/>
      <c r="N405" s="12"/>
      <c r="O405" s="17"/>
      <c r="P405" s="16"/>
      <c r="Q405" s="12"/>
      <c r="R405" s="15"/>
      <c r="S405" s="16" t="str">
        <f aca="false">IF(B405="","",IF(M405="Desestimada","Cerrado - desestimada",IF(AND(M405="Aplicada",OR(P405="Pagada",P405="Incluida en expensas")),"Cerrado - multa cobrada",IF(M405="Aplicada","Multa aplicada - impaga",IF(L405&lt;&gt;"","Descargo respondido - a resolver",IF(J405="Sí","Esperando respuesta descargo","Pendiente enviar descargo"))))))</f>
        <v/>
      </c>
      <c r="T405" s="18" t="str">
        <f aca="true">IF(B405="","",TODAY()-B405)</f>
        <v/>
      </c>
    </row>
    <row r="406" customFormat="false" ht="15" hidden="false" customHeight="false" outlineLevel="0" collapsed="false">
      <c r="A406" s="11" t="str">
        <f aca="false">IF(B406="","",ROW()-3)</f>
        <v/>
      </c>
      <c r="B406" s="12"/>
      <c r="C406" s="13"/>
      <c r="D406" s="14"/>
      <c r="E406" s="11"/>
      <c r="F406" s="15"/>
      <c r="G406" s="14"/>
      <c r="H406" s="15"/>
      <c r="I406" s="15"/>
      <c r="J406" s="16"/>
      <c r="K406" s="12"/>
      <c r="L406" s="12"/>
      <c r="M406" s="16"/>
      <c r="N406" s="12"/>
      <c r="O406" s="17"/>
      <c r="P406" s="16"/>
      <c r="Q406" s="12"/>
      <c r="R406" s="15"/>
      <c r="S406" s="16" t="str">
        <f aca="false">IF(B406="","",IF(M406="Desestimada","Cerrado - desestimada",IF(AND(M406="Aplicada",OR(P406="Pagada",P406="Incluida en expensas")),"Cerrado - multa cobrada",IF(M406="Aplicada","Multa aplicada - impaga",IF(L406&lt;&gt;"","Descargo respondido - a resolver",IF(J406="Sí","Esperando respuesta descargo","Pendiente enviar descargo"))))))</f>
        <v/>
      </c>
      <c r="T406" s="18" t="str">
        <f aca="true">IF(B406="","",TODAY()-B406)</f>
        <v/>
      </c>
    </row>
    <row r="407" customFormat="false" ht="15" hidden="false" customHeight="false" outlineLevel="0" collapsed="false">
      <c r="A407" s="11" t="str">
        <f aca="false">IF(B407="","",ROW()-3)</f>
        <v/>
      </c>
      <c r="B407" s="12"/>
      <c r="C407" s="13"/>
      <c r="D407" s="14"/>
      <c r="E407" s="11"/>
      <c r="F407" s="15"/>
      <c r="G407" s="14"/>
      <c r="H407" s="15"/>
      <c r="I407" s="15"/>
      <c r="J407" s="16"/>
      <c r="K407" s="12"/>
      <c r="L407" s="12"/>
      <c r="M407" s="16"/>
      <c r="N407" s="12"/>
      <c r="O407" s="17"/>
      <c r="P407" s="16"/>
      <c r="Q407" s="12"/>
      <c r="R407" s="15"/>
      <c r="S407" s="16" t="str">
        <f aca="false">IF(B407="","",IF(M407="Desestimada","Cerrado - desestimada",IF(AND(M407="Aplicada",OR(P407="Pagada",P407="Incluida en expensas")),"Cerrado - multa cobrada",IF(M407="Aplicada","Multa aplicada - impaga",IF(L407&lt;&gt;"","Descargo respondido - a resolver",IF(J407="Sí","Esperando respuesta descargo","Pendiente enviar descargo"))))))</f>
        <v/>
      </c>
      <c r="T407" s="18" t="str">
        <f aca="true">IF(B407="","",TODAY()-B407)</f>
        <v/>
      </c>
    </row>
    <row r="408" customFormat="false" ht="15" hidden="false" customHeight="false" outlineLevel="0" collapsed="false">
      <c r="A408" s="11" t="str">
        <f aca="false">IF(B408="","",ROW()-3)</f>
        <v/>
      </c>
      <c r="B408" s="12"/>
      <c r="C408" s="13"/>
      <c r="D408" s="14"/>
      <c r="E408" s="11"/>
      <c r="F408" s="15"/>
      <c r="G408" s="14"/>
      <c r="H408" s="15"/>
      <c r="I408" s="15"/>
      <c r="J408" s="16"/>
      <c r="K408" s="12"/>
      <c r="L408" s="12"/>
      <c r="M408" s="16"/>
      <c r="N408" s="12"/>
      <c r="O408" s="17"/>
      <c r="P408" s="16"/>
      <c r="Q408" s="12"/>
      <c r="R408" s="15"/>
      <c r="S408" s="16" t="str">
        <f aca="false">IF(B408="","",IF(M408="Desestimada","Cerrado - desestimada",IF(AND(M408="Aplicada",OR(P408="Pagada",P408="Incluida en expensas")),"Cerrado - multa cobrada",IF(M408="Aplicada","Multa aplicada - impaga",IF(L408&lt;&gt;"","Descargo respondido - a resolver",IF(J408="Sí","Esperando respuesta descargo","Pendiente enviar descargo"))))))</f>
        <v/>
      </c>
      <c r="T408" s="18" t="str">
        <f aca="true">IF(B408="","",TODAY()-B408)</f>
        <v/>
      </c>
    </row>
    <row r="409" customFormat="false" ht="15" hidden="false" customHeight="false" outlineLevel="0" collapsed="false">
      <c r="A409" s="11" t="str">
        <f aca="false">IF(B409="","",ROW()-3)</f>
        <v/>
      </c>
      <c r="B409" s="12"/>
      <c r="C409" s="13"/>
      <c r="D409" s="14"/>
      <c r="E409" s="11"/>
      <c r="F409" s="15"/>
      <c r="G409" s="14"/>
      <c r="H409" s="15"/>
      <c r="I409" s="15"/>
      <c r="J409" s="16"/>
      <c r="K409" s="12"/>
      <c r="L409" s="12"/>
      <c r="M409" s="16"/>
      <c r="N409" s="12"/>
      <c r="O409" s="17"/>
      <c r="P409" s="16"/>
      <c r="Q409" s="12"/>
      <c r="R409" s="15"/>
      <c r="S409" s="16" t="str">
        <f aca="false">IF(B409="","",IF(M409="Desestimada","Cerrado - desestimada",IF(AND(M409="Aplicada",OR(P409="Pagada",P409="Incluida en expensas")),"Cerrado - multa cobrada",IF(M409="Aplicada","Multa aplicada - impaga",IF(L409&lt;&gt;"","Descargo respondido - a resolver",IF(J409="Sí","Esperando respuesta descargo","Pendiente enviar descargo"))))))</f>
        <v/>
      </c>
      <c r="T409" s="18" t="str">
        <f aca="true">IF(B409="","",TODAY()-B409)</f>
        <v/>
      </c>
    </row>
    <row r="410" customFormat="false" ht="15" hidden="false" customHeight="false" outlineLevel="0" collapsed="false">
      <c r="A410" s="11" t="str">
        <f aca="false">IF(B410="","",ROW()-3)</f>
        <v/>
      </c>
      <c r="B410" s="12"/>
      <c r="C410" s="13"/>
      <c r="D410" s="14"/>
      <c r="E410" s="11"/>
      <c r="F410" s="15"/>
      <c r="G410" s="14"/>
      <c r="H410" s="15"/>
      <c r="I410" s="15"/>
      <c r="J410" s="16"/>
      <c r="K410" s="12"/>
      <c r="L410" s="12"/>
      <c r="M410" s="16"/>
      <c r="N410" s="12"/>
      <c r="O410" s="17"/>
      <c r="P410" s="16"/>
      <c r="Q410" s="12"/>
      <c r="R410" s="15"/>
      <c r="S410" s="16" t="str">
        <f aca="false">IF(B410="","",IF(M410="Desestimada","Cerrado - desestimada",IF(AND(M410="Aplicada",OR(P410="Pagada",P410="Incluida en expensas")),"Cerrado - multa cobrada",IF(M410="Aplicada","Multa aplicada - impaga",IF(L410&lt;&gt;"","Descargo respondido - a resolver",IF(J410="Sí","Esperando respuesta descargo","Pendiente enviar descargo"))))))</f>
        <v/>
      </c>
      <c r="T410" s="18" t="str">
        <f aca="true">IF(B410="","",TODAY()-B410)</f>
        <v/>
      </c>
    </row>
    <row r="411" customFormat="false" ht="15" hidden="false" customHeight="false" outlineLevel="0" collapsed="false">
      <c r="A411" s="11" t="str">
        <f aca="false">IF(B411="","",ROW()-3)</f>
        <v/>
      </c>
      <c r="B411" s="12"/>
      <c r="C411" s="13"/>
      <c r="D411" s="14"/>
      <c r="E411" s="11"/>
      <c r="F411" s="15"/>
      <c r="G411" s="14"/>
      <c r="H411" s="15"/>
      <c r="I411" s="15"/>
      <c r="J411" s="16"/>
      <c r="K411" s="12"/>
      <c r="L411" s="12"/>
      <c r="M411" s="16"/>
      <c r="N411" s="12"/>
      <c r="O411" s="17"/>
      <c r="P411" s="16"/>
      <c r="Q411" s="12"/>
      <c r="R411" s="15"/>
      <c r="S411" s="16" t="str">
        <f aca="false">IF(B411="","",IF(M411="Desestimada","Cerrado - desestimada",IF(AND(M411="Aplicada",OR(P411="Pagada",P411="Incluida en expensas")),"Cerrado - multa cobrada",IF(M411="Aplicada","Multa aplicada - impaga",IF(L411&lt;&gt;"","Descargo respondido - a resolver",IF(J411="Sí","Esperando respuesta descargo","Pendiente enviar descargo"))))))</f>
        <v/>
      </c>
      <c r="T411" s="18" t="str">
        <f aca="true">IF(B411="","",TODAY()-B411)</f>
        <v/>
      </c>
    </row>
    <row r="412" customFormat="false" ht="15" hidden="false" customHeight="false" outlineLevel="0" collapsed="false">
      <c r="A412" s="11" t="str">
        <f aca="false">IF(B412="","",ROW()-3)</f>
        <v/>
      </c>
      <c r="B412" s="12"/>
      <c r="C412" s="13"/>
      <c r="D412" s="14"/>
      <c r="E412" s="11"/>
      <c r="F412" s="15"/>
      <c r="G412" s="14"/>
      <c r="H412" s="15"/>
      <c r="I412" s="15"/>
      <c r="J412" s="16"/>
      <c r="K412" s="12"/>
      <c r="L412" s="12"/>
      <c r="M412" s="16"/>
      <c r="N412" s="12"/>
      <c r="O412" s="17"/>
      <c r="P412" s="16"/>
      <c r="Q412" s="12"/>
      <c r="R412" s="15"/>
      <c r="S412" s="16" t="str">
        <f aca="false">IF(B412="","",IF(M412="Desestimada","Cerrado - desestimada",IF(AND(M412="Aplicada",OR(P412="Pagada",P412="Incluida en expensas")),"Cerrado - multa cobrada",IF(M412="Aplicada","Multa aplicada - impaga",IF(L412&lt;&gt;"","Descargo respondido - a resolver",IF(J412="Sí","Esperando respuesta descargo","Pendiente enviar descargo"))))))</f>
        <v/>
      </c>
      <c r="T412" s="18" t="str">
        <f aca="true">IF(B412="","",TODAY()-B412)</f>
        <v/>
      </c>
    </row>
    <row r="413" customFormat="false" ht="15" hidden="false" customHeight="false" outlineLevel="0" collapsed="false">
      <c r="A413" s="11" t="str">
        <f aca="false">IF(B413="","",ROW()-3)</f>
        <v/>
      </c>
      <c r="B413" s="12"/>
      <c r="C413" s="13"/>
      <c r="D413" s="14"/>
      <c r="E413" s="11"/>
      <c r="F413" s="15"/>
      <c r="G413" s="14"/>
      <c r="H413" s="15"/>
      <c r="I413" s="15"/>
      <c r="J413" s="16"/>
      <c r="K413" s="12"/>
      <c r="L413" s="12"/>
      <c r="M413" s="16"/>
      <c r="N413" s="12"/>
      <c r="O413" s="17"/>
      <c r="P413" s="16"/>
      <c r="Q413" s="12"/>
      <c r="R413" s="15"/>
      <c r="S413" s="16" t="str">
        <f aca="false">IF(B413="","",IF(M413="Desestimada","Cerrado - desestimada",IF(AND(M413="Aplicada",OR(P413="Pagada",P413="Incluida en expensas")),"Cerrado - multa cobrada",IF(M413="Aplicada","Multa aplicada - impaga",IF(L413&lt;&gt;"","Descargo respondido - a resolver",IF(J413="Sí","Esperando respuesta descargo","Pendiente enviar descargo"))))))</f>
        <v/>
      </c>
      <c r="T413" s="18" t="str">
        <f aca="true">IF(B413="","",TODAY()-B413)</f>
        <v/>
      </c>
    </row>
    <row r="414" customFormat="false" ht="15" hidden="false" customHeight="false" outlineLevel="0" collapsed="false">
      <c r="A414" s="11" t="str">
        <f aca="false">IF(B414="","",ROW()-3)</f>
        <v/>
      </c>
      <c r="B414" s="12"/>
      <c r="C414" s="13"/>
      <c r="D414" s="14"/>
      <c r="E414" s="11"/>
      <c r="F414" s="15"/>
      <c r="G414" s="14"/>
      <c r="H414" s="15"/>
      <c r="I414" s="15"/>
      <c r="J414" s="16"/>
      <c r="K414" s="12"/>
      <c r="L414" s="12"/>
      <c r="M414" s="16"/>
      <c r="N414" s="12"/>
      <c r="O414" s="17"/>
      <c r="P414" s="16"/>
      <c r="Q414" s="12"/>
      <c r="R414" s="15"/>
      <c r="S414" s="16" t="str">
        <f aca="false">IF(B414="","",IF(M414="Desestimada","Cerrado - desestimada",IF(AND(M414="Aplicada",OR(P414="Pagada",P414="Incluida en expensas")),"Cerrado - multa cobrada",IF(M414="Aplicada","Multa aplicada - impaga",IF(L414&lt;&gt;"","Descargo respondido - a resolver",IF(J414="Sí","Esperando respuesta descargo","Pendiente enviar descargo"))))))</f>
        <v/>
      </c>
      <c r="T414" s="18" t="str">
        <f aca="true">IF(B414="","",TODAY()-B414)</f>
        <v/>
      </c>
    </row>
    <row r="415" customFormat="false" ht="15" hidden="false" customHeight="false" outlineLevel="0" collapsed="false">
      <c r="A415" s="11" t="str">
        <f aca="false">IF(B415="","",ROW()-3)</f>
        <v/>
      </c>
      <c r="B415" s="12"/>
      <c r="C415" s="13"/>
      <c r="D415" s="14"/>
      <c r="E415" s="11"/>
      <c r="F415" s="15"/>
      <c r="G415" s="14"/>
      <c r="H415" s="15"/>
      <c r="I415" s="15"/>
      <c r="J415" s="16"/>
      <c r="K415" s="12"/>
      <c r="L415" s="12"/>
      <c r="M415" s="16"/>
      <c r="N415" s="12"/>
      <c r="O415" s="17"/>
      <c r="P415" s="16"/>
      <c r="Q415" s="12"/>
      <c r="R415" s="15"/>
      <c r="S415" s="16" t="str">
        <f aca="false">IF(B415="","",IF(M415="Desestimada","Cerrado - desestimada",IF(AND(M415="Aplicada",OR(P415="Pagada",P415="Incluida en expensas")),"Cerrado - multa cobrada",IF(M415="Aplicada","Multa aplicada - impaga",IF(L415&lt;&gt;"","Descargo respondido - a resolver",IF(J415="Sí","Esperando respuesta descargo","Pendiente enviar descargo"))))))</f>
        <v/>
      </c>
      <c r="T415" s="18" t="str">
        <f aca="true">IF(B415="","",TODAY()-B415)</f>
        <v/>
      </c>
    </row>
    <row r="416" customFormat="false" ht="15" hidden="false" customHeight="false" outlineLevel="0" collapsed="false">
      <c r="A416" s="11" t="str">
        <f aca="false">IF(B416="","",ROW()-3)</f>
        <v/>
      </c>
      <c r="B416" s="12"/>
      <c r="C416" s="13"/>
      <c r="D416" s="14"/>
      <c r="E416" s="11"/>
      <c r="F416" s="15"/>
      <c r="G416" s="14"/>
      <c r="H416" s="15"/>
      <c r="I416" s="15"/>
      <c r="J416" s="16"/>
      <c r="K416" s="12"/>
      <c r="L416" s="12"/>
      <c r="M416" s="16"/>
      <c r="N416" s="12"/>
      <c r="O416" s="17"/>
      <c r="P416" s="16"/>
      <c r="Q416" s="12"/>
      <c r="R416" s="15"/>
      <c r="S416" s="16" t="str">
        <f aca="false">IF(B416="","",IF(M416="Desestimada","Cerrado - desestimada",IF(AND(M416="Aplicada",OR(P416="Pagada",P416="Incluida en expensas")),"Cerrado - multa cobrada",IF(M416="Aplicada","Multa aplicada - impaga",IF(L416&lt;&gt;"","Descargo respondido - a resolver",IF(J416="Sí","Esperando respuesta descargo","Pendiente enviar descargo"))))))</f>
        <v/>
      </c>
      <c r="T416" s="18" t="str">
        <f aca="true">IF(B416="","",TODAY()-B416)</f>
        <v/>
      </c>
    </row>
    <row r="417" customFormat="false" ht="15" hidden="false" customHeight="false" outlineLevel="0" collapsed="false">
      <c r="A417" s="11" t="str">
        <f aca="false">IF(B417="","",ROW()-3)</f>
        <v/>
      </c>
      <c r="B417" s="12"/>
      <c r="C417" s="13"/>
      <c r="D417" s="14"/>
      <c r="E417" s="11"/>
      <c r="F417" s="15"/>
      <c r="G417" s="14"/>
      <c r="H417" s="15"/>
      <c r="I417" s="15"/>
      <c r="J417" s="16"/>
      <c r="K417" s="12"/>
      <c r="L417" s="12"/>
      <c r="M417" s="16"/>
      <c r="N417" s="12"/>
      <c r="O417" s="17"/>
      <c r="P417" s="16"/>
      <c r="Q417" s="12"/>
      <c r="R417" s="15"/>
      <c r="S417" s="16" t="str">
        <f aca="false">IF(B417="","",IF(M417="Desestimada","Cerrado - desestimada",IF(AND(M417="Aplicada",OR(P417="Pagada",P417="Incluida en expensas")),"Cerrado - multa cobrada",IF(M417="Aplicada","Multa aplicada - impaga",IF(L417&lt;&gt;"","Descargo respondido - a resolver",IF(J417="Sí","Esperando respuesta descargo","Pendiente enviar descargo"))))))</f>
        <v/>
      </c>
      <c r="T417" s="18" t="str">
        <f aca="true">IF(B417="","",TODAY()-B417)</f>
        <v/>
      </c>
    </row>
    <row r="418" customFormat="false" ht="15" hidden="false" customHeight="false" outlineLevel="0" collapsed="false">
      <c r="A418" s="11" t="str">
        <f aca="false">IF(B418="","",ROW()-3)</f>
        <v/>
      </c>
      <c r="B418" s="12"/>
      <c r="C418" s="13"/>
      <c r="D418" s="14"/>
      <c r="E418" s="11"/>
      <c r="F418" s="15"/>
      <c r="G418" s="14"/>
      <c r="H418" s="15"/>
      <c r="I418" s="15"/>
      <c r="J418" s="16"/>
      <c r="K418" s="12"/>
      <c r="L418" s="12"/>
      <c r="M418" s="16"/>
      <c r="N418" s="12"/>
      <c r="O418" s="17"/>
      <c r="P418" s="16"/>
      <c r="Q418" s="12"/>
      <c r="R418" s="15"/>
      <c r="S418" s="16" t="str">
        <f aca="false">IF(B418="","",IF(M418="Desestimada","Cerrado - desestimada",IF(AND(M418="Aplicada",OR(P418="Pagada",P418="Incluida en expensas")),"Cerrado - multa cobrada",IF(M418="Aplicada","Multa aplicada - impaga",IF(L418&lt;&gt;"","Descargo respondido - a resolver",IF(J418="Sí","Esperando respuesta descargo","Pendiente enviar descargo"))))))</f>
        <v/>
      </c>
      <c r="T418" s="18" t="str">
        <f aca="true">IF(B418="","",TODAY()-B418)</f>
        <v/>
      </c>
    </row>
    <row r="419" customFormat="false" ht="15" hidden="false" customHeight="false" outlineLevel="0" collapsed="false">
      <c r="A419" s="11" t="str">
        <f aca="false">IF(B419="","",ROW()-3)</f>
        <v/>
      </c>
      <c r="B419" s="12"/>
      <c r="C419" s="13"/>
      <c r="D419" s="14"/>
      <c r="E419" s="11"/>
      <c r="F419" s="15"/>
      <c r="G419" s="14"/>
      <c r="H419" s="15"/>
      <c r="I419" s="15"/>
      <c r="J419" s="16"/>
      <c r="K419" s="12"/>
      <c r="L419" s="12"/>
      <c r="M419" s="16"/>
      <c r="N419" s="12"/>
      <c r="O419" s="17"/>
      <c r="P419" s="16"/>
      <c r="Q419" s="12"/>
      <c r="R419" s="15"/>
      <c r="S419" s="16" t="str">
        <f aca="false">IF(B419="","",IF(M419="Desestimada","Cerrado - desestimada",IF(AND(M419="Aplicada",OR(P419="Pagada",P419="Incluida en expensas")),"Cerrado - multa cobrada",IF(M419="Aplicada","Multa aplicada - impaga",IF(L419&lt;&gt;"","Descargo respondido - a resolver",IF(J419="Sí","Esperando respuesta descargo","Pendiente enviar descargo"))))))</f>
        <v/>
      </c>
      <c r="T419" s="18" t="str">
        <f aca="true">IF(B419="","",TODAY()-B419)</f>
        <v/>
      </c>
    </row>
    <row r="420" customFormat="false" ht="15" hidden="false" customHeight="false" outlineLevel="0" collapsed="false">
      <c r="A420" s="11" t="str">
        <f aca="false">IF(B420="","",ROW()-3)</f>
        <v/>
      </c>
      <c r="B420" s="12"/>
      <c r="C420" s="13"/>
      <c r="D420" s="14"/>
      <c r="E420" s="11"/>
      <c r="F420" s="15"/>
      <c r="G420" s="14"/>
      <c r="H420" s="15"/>
      <c r="I420" s="15"/>
      <c r="J420" s="16"/>
      <c r="K420" s="12"/>
      <c r="L420" s="12"/>
      <c r="M420" s="16"/>
      <c r="N420" s="12"/>
      <c r="O420" s="17"/>
      <c r="P420" s="16"/>
      <c r="Q420" s="12"/>
      <c r="R420" s="15"/>
      <c r="S420" s="16" t="str">
        <f aca="false">IF(B420="","",IF(M420="Desestimada","Cerrado - desestimada",IF(AND(M420="Aplicada",OR(P420="Pagada",P420="Incluida en expensas")),"Cerrado - multa cobrada",IF(M420="Aplicada","Multa aplicada - impaga",IF(L420&lt;&gt;"","Descargo respondido - a resolver",IF(J420="Sí","Esperando respuesta descargo","Pendiente enviar descargo"))))))</f>
        <v/>
      </c>
      <c r="T420" s="18" t="str">
        <f aca="true">IF(B420="","",TODAY()-B420)</f>
        <v/>
      </c>
    </row>
    <row r="421" customFormat="false" ht="15" hidden="false" customHeight="false" outlineLevel="0" collapsed="false">
      <c r="A421" s="11" t="str">
        <f aca="false">IF(B421="","",ROW()-3)</f>
        <v/>
      </c>
      <c r="B421" s="12"/>
      <c r="C421" s="13"/>
      <c r="D421" s="14"/>
      <c r="E421" s="11"/>
      <c r="F421" s="15"/>
      <c r="G421" s="14"/>
      <c r="H421" s="15"/>
      <c r="I421" s="15"/>
      <c r="J421" s="16"/>
      <c r="K421" s="12"/>
      <c r="L421" s="12"/>
      <c r="M421" s="16"/>
      <c r="N421" s="12"/>
      <c r="O421" s="17"/>
      <c r="P421" s="16"/>
      <c r="Q421" s="12"/>
      <c r="R421" s="15"/>
      <c r="S421" s="16" t="str">
        <f aca="false">IF(B421="","",IF(M421="Desestimada","Cerrado - desestimada",IF(AND(M421="Aplicada",OR(P421="Pagada",P421="Incluida en expensas")),"Cerrado - multa cobrada",IF(M421="Aplicada","Multa aplicada - impaga",IF(L421&lt;&gt;"","Descargo respondido - a resolver",IF(J421="Sí","Esperando respuesta descargo","Pendiente enviar descargo"))))))</f>
        <v/>
      </c>
      <c r="T421" s="18" t="str">
        <f aca="true">IF(B421="","",TODAY()-B421)</f>
        <v/>
      </c>
    </row>
    <row r="422" customFormat="false" ht="15" hidden="false" customHeight="false" outlineLevel="0" collapsed="false">
      <c r="A422" s="11" t="str">
        <f aca="false">IF(B422="","",ROW()-3)</f>
        <v/>
      </c>
      <c r="B422" s="12"/>
      <c r="C422" s="13"/>
      <c r="D422" s="14"/>
      <c r="E422" s="11"/>
      <c r="F422" s="15"/>
      <c r="G422" s="14"/>
      <c r="H422" s="15"/>
      <c r="I422" s="15"/>
      <c r="J422" s="16"/>
      <c r="K422" s="12"/>
      <c r="L422" s="12"/>
      <c r="M422" s="16"/>
      <c r="N422" s="12"/>
      <c r="O422" s="17"/>
      <c r="P422" s="16"/>
      <c r="Q422" s="12"/>
      <c r="R422" s="15"/>
      <c r="S422" s="16" t="str">
        <f aca="false">IF(B422="","",IF(M422="Desestimada","Cerrado - desestimada",IF(AND(M422="Aplicada",OR(P422="Pagada",P422="Incluida en expensas")),"Cerrado - multa cobrada",IF(M422="Aplicada","Multa aplicada - impaga",IF(L422&lt;&gt;"","Descargo respondido - a resolver",IF(J422="Sí","Esperando respuesta descargo","Pendiente enviar descargo"))))))</f>
        <v/>
      </c>
      <c r="T422" s="18" t="str">
        <f aca="true">IF(B422="","",TODAY()-B422)</f>
        <v/>
      </c>
    </row>
    <row r="423" customFormat="false" ht="15" hidden="false" customHeight="false" outlineLevel="0" collapsed="false">
      <c r="A423" s="11" t="str">
        <f aca="false">IF(B423="","",ROW()-3)</f>
        <v/>
      </c>
      <c r="B423" s="12"/>
      <c r="C423" s="13"/>
      <c r="D423" s="14"/>
      <c r="E423" s="11"/>
      <c r="F423" s="15"/>
      <c r="G423" s="14"/>
      <c r="H423" s="15"/>
      <c r="I423" s="15"/>
      <c r="J423" s="16"/>
      <c r="K423" s="12"/>
      <c r="L423" s="12"/>
      <c r="M423" s="16"/>
      <c r="N423" s="12"/>
      <c r="O423" s="17"/>
      <c r="P423" s="16"/>
      <c r="Q423" s="12"/>
      <c r="R423" s="15"/>
      <c r="S423" s="16" t="str">
        <f aca="false">IF(B423="","",IF(M423="Desestimada","Cerrado - desestimada",IF(AND(M423="Aplicada",OR(P423="Pagada",P423="Incluida en expensas")),"Cerrado - multa cobrada",IF(M423="Aplicada","Multa aplicada - impaga",IF(L423&lt;&gt;"","Descargo respondido - a resolver",IF(J423="Sí","Esperando respuesta descargo","Pendiente enviar descargo"))))))</f>
        <v/>
      </c>
      <c r="T423" s="18" t="str">
        <f aca="true">IF(B423="","",TODAY()-B423)</f>
        <v/>
      </c>
    </row>
    <row r="424" customFormat="false" ht="15" hidden="false" customHeight="false" outlineLevel="0" collapsed="false">
      <c r="A424" s="11" t="str">
        <f aca="false">IF(B424="","",ROW()-3)</f>
        <v/>
      </c>
      <c r="B424" s="12"/>
      <c r="C424" s="13"/>
      <c r="D424" s="14"/>
      <c r="E424" s="11"/>
      <c r="F424" s="15"/>
      <c r="G424" s="14"/>
      <c r="H424" s="15"/>
      <c r="I424" s="15"/>
      <c r="J424" s="16"/>
      <c r="K424" s="12"/>
      <c r="L424" s="12"/>
      <c r="M424" s="16"/>
      <c r="N424" s="12"/>
      <c r="O424" s="17"/>
      <c r="P424" s="16"/>
      <c r="Q424" s="12"/>
      <c r="R424" s="15"/>
      <c r="S424" s="16" t="str">
        <f aca="false">IF(B424="","",IF(M424="Desestimada","Cerrado - desestimada",IF(AND(M424="Aplicada",OR(P424="Pagada",P424="Incluida en expensas")),"Cerrado - multa cobrada",IF(M424="Aplicada","Multa aplicada - impaga",IF(L424&lt;&gt;"","Descargo respondido - a resolver",IF(J424="Sí","Esperando respuesta descargo","Pendiente enviar descargo"))))))</f>
        <v/>
      </c>
      <c r="T424" s="18" t="str">
        <f aca="true">IF(B424="","",TODAY()-B424)</f>
        <v/>
      </c>
    </row>
    <row r="425" customFormat="false" ht="15" hidden="false" customHeight="false" outlineLevel="0" collapsed="false">
      <c r="A425" s="11" t="str">
        <f aca="false">IF(B425="","",ROW()-3)</f>
        <v/>
      </c>
      <c r="B425" s="12"/>
      <c r="C425" s="13"/>
      <c r="D425" s="14"/>
      <c r="E425" s="11"/>
      <c r="F425" s="15"/>
      <c r="G425" s="14"/>
      <c r="H425" s="15"/>
      <c r="I425" s="15"/>
      <c r="J425" s="16"/>
      <c r="K425" s="12"/>
      <c r="L425" s="12"/>
      <c r="M425" s="16"/>
      <c r="N425" s="12"/>
      <c r="O425" s="17"/>
      <c r="P425" s="16"/>
      <c r="Q425" s="12"/>
      <c r="R425" s="15"/>
      <c r="S425" s="16" t="str">
        <f aca="false">IF(B425="","",IF(M425="Desestimada","Cerrado - desestimada",IF(AND(M425="Aplicada",OR(P425="Pagada",P425="Incluida en expensas")),"Cerrado - multa cobrada",IF(M425="Aplicada","Multa aplicada - impaga",IF(L425&lt;&gt;"","Descargo respondido - a resolver",IF(J425="Sí","Esperando respuesta descargo","Pendiente enviar descargo"))))))</f>
        <v/>
      </c>
      <c r="T425" s="18" t="str">
        <f aca="true">IF(B425="","",TODAY()-B425)</f>
        <v/>
      </c>
    </row>
    <row r="426" customFormat="false" ht="15" hidden="false" customHeight="false" outlineLevel="0" collapsed="false">
      <c r="A426" s="11" t="str">
        <f aca="false">IF(B426="","",ROW()-3)</f>
        <v/>
      </c>
      <c r="B426" s="12"/>
      <c r="C426" s="13"/>
      <c r="D426" s="14"/>
      <c r="E426" s="11"/>
      <c r="F426" s="15"/>
      <c r="G426" s="14"/>
      <c r="H426" s="15"/>
      <c r="I426" s="15"/>
      <c r="J426" s="16"/>
      <c r="K426" s="12"/>
      <c r="L426" s="12"/>
      <c r="M426" s="16"/>
      <c r="N426" s="12"/>
      <c r="O426" s="17"/>
      <c r="P426" s="16"/>
      <c r="Q426" s="12"/>
      <c r="R426" s="15"/>
      <c r="S426" s="16" t="str">
        <f aca="false">IF(B426="","",IF(M426="Desestimada","Cerrado - desestimada",IF(AND(M426="Aplicada",OR(P426="Pagada",P426="Incluida en expensas")),"Cerrado - multa cobrada",IF(M426="Aplicada","Multa aplicada - impaga",IF(L426&lt;&gt;"","Descargo respondido - a resolver",IF(J426="Sí","Esperando respuesta descargo","Pendiente enviar descargo"))))))</f>
        <v/>
      </c>
      <c r="T426" s="18" t="str">
        <f aca="true">IF(B426="","",TODAY()-B426)</f>
        <v/>
      </c>
    </row>
    <row r="427" customFormat="false" ht="15" hidden="false" customHeight="false" outlineLevel="0" collapsed="false">
      <c r="A427" s="11" t="str">
        <f aca="false">IF(B427="","",ROW()-3)</f>
        <v/>
      </c>
      <c r="B427" s="12"/>
      <c r="C427" s="13"/>
      <c r="D427" s="14"/>
      <c r="E427" s="11"/>
      <c r="F427" s="15"/>
      <c r="G427" s="14"/>
      <c r="H427" s="15"/>
      <c r="I427" s="15"/>
      <c r="J427" s="16"/>
      <c r="K427" s="12"/>
      <c r="L427" s="12"/>
      <c r="M427" s="16"/>
      <c r="N427" s="12"/>
      <c r="O427" s="17"/>
      <c r="P427" s="16"/>
      <c r="Q427" s="12"/>
      <c r="R427" s="15"/>
      <c r="S427" s="16" t="str">
        <f aca="false">IF(B427="","",IF(M427="Desestimada","Cerrado - desestimada",IF(AND(M427="Aplicada",OR(P427="Pagada",P427="Incluida en expensas")),"Cerrado - multa cobrada",IF(M427="Aplicada","Multa aplicada - impaga",IF(L427&lt;&gt;"","Descargo respondido - a resolver",IF(J427="Sí","Esperando respuesta descargo","Pendiente enviar descargo"))))))</f>
        <v/>
      </c>
      <c r="T427" s="18" t="str">
        <f aca="true">IF(B427="","",TODAY()-B427)</f>
        <v/>
      </c>
    </row>
    <row r="428" customFormat="false" ht="15" hidden="false" customHeight="false" outlineLevel="0" collapsed="false">
      <c r="A428" s="11" t="str">
        <f aca="false">IF(B428="","",ROW()-3)</f>
        <v/>
      </c>
      <c r="B428" s="12"/>
      <c r="C428" s="13"/>
      <c r="D428" s="14"/>
      <c r="E428" s="11"/>
      <c r="F428" s="15"/>
      <c r="G428" s="14"/>
      <c r="H428" s="15"/>
      <c r="I428" s="15"/>
      <c r="J428" s="16"/>
      <c r="K428" s="12"/>
      <c r="L428" s="12"/>
      <c r="M428" s="16"/>
      <c r="N428" s="12"/>
      <c r="O428" s="17"/>
      <c r="P428" s="16"/>
      <c r="Q428" s="12"/>
      <c r="R428" s="15"/>
      <c r="S428" s="16" t="str">
        <f aca="false">IF(B428="","",IF(M428="Desestimada","Cerrado - desestimada",IF(AND(M428="Aplicada",OR(P428="Pagada",P428="Incluida en expensas")),"Cerrado - multa cobrada",IF(M428="Aplicada","Multa aplicada - impaga",IF(L428&lt;&gt;"","Descargo respondido - a resolver",IF(J428="Sí","Esperando respuesta descargo","Pendiente enviar descargo"))))))</f>
        <v/>
      </c>
      <c r="T428" s="18" t="str">
        <f aca="true">IF(B428="","",TODAY()-B428)</f>
        <v/>
      </c>
    </row>
    <row r="429" customFormat="false" ht="15" hidden="false" customHeight="false" outlineLevel="0" collapsed="false">
      <c r="A429" s="11" t="str">
        <f aca="false">IF(B429="","",ROW()-3)</f>
        <v/>
      </c>
      <c r="B429" s="12"/>
      <c r="C429" s="13"/>
      <c r="D429" s="14"/>
      <c r="E429" s="11"/>
      <c r="F429" s="15"/>
      <c r="G429" s="14"/>
      <c r="H429" s="15"/>
      <c r="I429" s="15"/>
      <c r="J429" s="16"/>
      <c r="K429" s="12"/>
      <c r="L429" s="12"/>
      <c r="M429" s="16"/>
      <c r="N429" s="12"/>
      <c r="O429" s="17"/>
      <c r="P429" s="16"/>
      <c r="Q429" s="12"/>
      <c r="R429" s="15"/>
      <c r="S429" s="16" t="str">
        <f aca="false">IF(B429="","",IF(M429="Desestimada","Cerrado - desestimada",IF(AND(M429="Aplicada",OR(P429="Pagada",P429="Incluida en expensas")),"Cerrado - multa cobrada",IF(M429="Aplicada","Multa aplicada - impaga",IF(L429&lt;&gt;"","Descargo respondido - a resolver",IF(J429="Sí","Esperando respuesta descargo","Pendiente enviar descargo"))))))</f>
        <v/>
      </c>
      <c r="T429" s="18" t="str">
        <f aca="true">IF(B429="","",TODAY()-B429)</f>
        <v/>
      </c>
    </row>
    <row r="430" customFormat="false" ht="15" hidden="false" customHeight="false" outlineLevel="0" collapsed="false">
      <c r="A430" s="11" t="str">
        <f aca="false">IF(B430="","",ROW()-3)</f>
        <v/>
      </c>
      <c r="B430" s="12"/>
      <c r="C430" s="13"/>
      <c r="D430" s="14"/>
      <c r="E430" s="11"/>
      <c r="F430" s="15"/>
      <c r="G430" s="14"/>
      <c r="H430" s="15"/>
      <c r="I430" s="15"/>
      <c r="J430" s="16"/>
      <c r="K430" s="12"/>
      <c r="L430" s="12"/>
      <c r="M430" s="16"/>
      <c r="N430" s="12"/>
      <c r="O430" s="17"/>
      <c r="P430" s="16"/>
      <c r="Q430" s="12"/>
      <c r="R430" s="15"/>
      <c r="S430" s="16" t="str">
        <f aca="false">IF(B430="","",IF(M430="Desestimada","Cerrado - desestimada",IF(AND(M430="Aplicada",OR(P430="Pagada",P430="Incluida en expensas")),"Cerrado - multa cobrada",IF(M430="Aplicada","Multa aplicada - impaga",IF(L430&lt;&gt;"","Descargo respondido - a resolver",IF(J430="Sí","Esperando respuesta descargo","Pendiente enviar descargo"))))))</f>
        <v/>
      </c>
      <c r="T430" s="18" t="str">
        <f aca="true">IF(B430="","",TODAY()-B430)</f>
        <v/>
      </c>
    </row>
    <row r="431" customFormat="false" ht="15" hidden="false" customHeight="false" outlineLevel="0" collapsed="false">
      <c r="A431" s="11" t="str">
        <f aca="false">IF(B431="","",ROW()-3)</f>
        <v/>
      </c>
      <c r="B431" s="12"/>
      <c r="C431" s="13"/>
      <c r="D431" s="14"/>
      <c r="E431" s="11"/>
      <c r="F431" s="15"/>
      <c r="G431" s="14"/>
      <c r="H431" s="15"/>
      <c r="I431" s="15"/>
      <c r="J431" s="16"/>
      <c r="K431" s="12"/>
      <c r="L431" s="12"/>
      <c r="M431" s="16"/>
      <c r="N431" s="12"/>
      <c r="O431" s="17"/>
      <c r="P431" s="16"/>
      <c r="Q431" s="12"/>
      <c r="R431" s="15"/>
      <c r="S431" s="16" t="str">
        <f aca="false">IF(B431="","",IF(M431="Desestimada","Cerrado - desestimada",IF(AND(M431="Aplicada",OR(P431="Pagada",P431="Incluida en expensas")),"Cerrado - multa cobrada",IF(M431="Aplicada","Multa aplicada - impaga",IF(L431&lt;&gt;"","Descargo respondido - a resolver",IF(J431="Sí","Esperando respuesta descargo","Pendiente enviar descargo"))))))</f>
        <v/>
      </c>
      <c r="T431" s="18" t="str">
        <f aca="true">IF(B431="","",TODAY()-B431)</f>
        <v/>
      </c>
    </row>
    <row r="432" customFormat="false" ht="15" hidden="false" customHeight="false" outlineLevel="0" collapsed="false">
      <c r="A432" s="11" t="str">
        <f aca="false">IF(B432="","",ROW()-3)</f>
        <v/>
      </c>
      <c r="B432" s="12"/>
      <c r="C432" s="13"/>
      <c r="D432" s="14"/>
      <c r="E432" s="11"/>
      <c r="F432" s="15"/>
      <c r="G432" s="14"/>
      <c r="H432" s="15"/>
      <c r="I432" s="15"/>
      <c r="J432" s="16"/>
      <c r="K432" s="12"/>
      <c r="L432" s="12"/>
      <c r="M432" s="16"/>
      <c r="N432" s="12"/>
      <c r="O432" s="17"/>
      <c r="P432" s="16"/>
      <c r="Q432" s="12"/>
      <c r="R432" s="15"/>
      <c r="S432" s="16" t="str">
        <f aca="false">IF(B432="","",IF(M432="Desestimada","Cerrado - desestimada",IF(AND(M432="Aplicada",OR(P432="Pagada",P432="Incluida en expensas")),"Cerrado - multa cobrada",IF(M432="Aplicada","Multa aplicada - impaga",IF(L432&lt;&gt;"","Descargo respondido - a resolver",IF(J432="Sí","Esperando respuesta descargo","Pendiente enviar descargo"))))))</f>
        <v/>
      </c>
      <c r="T432" s="18" t="str">
        <f aca="true">IF(B432="","",TODAY()-B432)</f>
        <v/>
      </c>
    </row>
    <row r="433" customFormat="false" ht="15" hidden="false" customHeight="false" outlineLevel="0" collapsed="false">
      <c r="A433" s="11" t="str">
        <f aca="false">IF(B433="","",ROW()-3)</f>
        <v/>
      </c>
      <c r="B433" s="12"/>
      <c r="C433" s="13"/>
      <c r="D433" s="14"/>
      <c r="E433" s="11"/>
      <c r="F433" s="15"/>
      <c r="G433" s="14"/>
      <c r="H433" s="15"/>
      <c r="I433" s="15"/>
      <c r="J433" s="16"/>
      <c r="K433" s="12"/>
      <c r="L433" s="12"/>
      <c r="M433" s="16"/>
      <c r="N433" s="12"/>
      <c r="O433" s="17"/>
      <c r="P433" s="16"/>
      <c r="Q433" s="12"/>
      <c r="R433" s="15"/>
      <c r="S433" s="16" t="str">
        <f aca="false">IF(B433="","",IF(M433="Desestimada","Cerrado - desestimada",IF(AND(M433="Aplicada",OR(P433="Pagada",P433="Incluida en expensas")),"Cerrado - multa cobrada",IF(M433="Aplicada","Multa aplicada - impaga",IF(L433&lt;&gt;"","Descargo respondido - a resolver",IF(J433="Sí","Esperando respuesta descargo","Pendiente enviar descargo"))))))</f>
        <v/>
      </c>
      <c r="T433" s="18" t="str">
        <f aca="true">IF(B433="","",TODAY()-B433)</f>
        <v/>
      </c>
    </row>
    <row r="434" customFormat="false" ht="15" hidden="false" customHeight="false" outlineLevel="0" collapsed="false">
      <c r="A434" s="11" t="str">
        <f aca="false">IF(B434="","",ROW()-3)</f>
        <v/>
      </c>
      <c r="B434" s="12"/>
      <c r="C434" s="13"/>
      <c r="D434" s="14"/>
      <c r="E434" s="11"/>
      <c r="F434" s="15"/>
      <c r="G434" s="14"/>
      <c r="H434" s="15"/>
      <c r="I434" s="15"/>
      <c r="J434" s="16"/>
      <c r="K434" s="12"/>
      <c r="L434" s="12"/>
      <c r="M434" s="16"/>
      <c r="N434" s="12"/>
      <c r="O434" s="17"/>
      <c r="P434" s="16"/>
      <c r="Q434" s="12"/>
      <c r="R434" s="15"/>
      <c r="S434" s="16" t="str">
        <f aca="false">IF(B434="","",IF(M434="Desestimada","Cerrado - desestimada",IF(AND(M434="Aplicada",OR(P434="Pagada",P434="Incluida en expensas")),"Cerrado - multa cobrada",IF(M434="Aplicada","Multa aplicada - impaga",IF(L434&lt;&gt;"","Descargo respondido - a resolver",IF(J434="Sí","Esperando respuesta descargo","Pendiente enviar descargo"))))))</f>
        <v/>
      </c>
      <c r="T434" s="18" t="str">
        <f aca="true">IF(B434="","",TODAY()-B434)</f>
        <v/>
      </c>
    </row>
    <row r="435" customFormat="false" ht="15" hidden="false" customHeight="false" outlineLevel="0" collapsed="false">
      <c r="A435" s="11" t="str">
        <f aca="false">IF(B435="","",ROW()-3)</f>
        <v/>
      </c>
      <c r="B435" s="12"/>
      <c r="C435" s="13"/>
      <c r="D435" s="14"/>
      <c r="E435" s="11"/>
      <c r="F435" s="15"/>
      <c r="G435" s="14"/>
      <c r="H435" s="15"/>
      <c r="I435" s="15"/>
      <c r="J435" s="16"/>
      <c r="K435" s="12"/>
      <c r="L435" s="12"/>
      <c r="M435" s="16"/>
      <c r="N435" s="12"/>
      <c r="O435" s="17"/>
      <c r="P435" s="16"/>
      <c r="Q435" s="12"/>
      <c r="R435" s="15"/>
      <c r="S435" s="16" t="str">
        <f aca="false">IF(B435="","",IF(M435="Desestimada","Cerrado - desestimada",IF(AND(M435="Aplicada",OR(P435="Pagada",P435="Incluida en expensas")),"Cerrado - multa cobrada",IF(M435="Aplicada","Multa aplicada - impaga",IF(L435&lt;&gt;"","Descargo respondido - a resolver",IF(J435="Sí","Esperando respuesta descargo","Pendiente enviar descargo"))))))</f>
        <v/>
      </c>
      <c r="T435" s="18" t="str">
        <f aca="true">IF(B435="","",TODAY()-B435)</f>
        <v/>
      </c>
    </row>
    <row r="436" customFormat="false" ht="15" hidden="false" customHeight="false" outlineLevel="0" collapsed="false">
      <c r="A436" s="11" t="str">
        <f aca="false">IF(B436="","",ROW()-3)</f>
        <v/>
      </c>
      <c r="B436" s="12"/>
      <c r="C436" s="13"/>
      <c r="D436" s="14"/>
      <c r="E436" s="11"/>
      <c r="F436" s="15"/>
      <c r="G436" s="14"/>
      <c r="H436" s="15"/>
      <c r="I436" s="15"/>
      <c r="J436" s="16"/>
      <c r="K436" s="12"/>
      <c r="L436" s="12"/>
      <c r="M436" s="16"/>
      <c r="N436" s="12"/>
      <c r="O436" s="17"/>
      <c r="P436" s="16"/>
      <c r="Q436" s="12"/>
      <c r="R436" s="15"/>
      <c r="S436" s="16" t="str">
        <f aca="false">IF(B436="","",IF(M436="Desestimada","Cerrado - desestimada",IF(AND(M436="Aplicada",OR(P436="Pagada",P436="Incluida en expensas")),"Cerrado - multa cobrada",IF(M436="Aplicada","Multa aplicada - impaga",IF(L436&lt;&gt;"","Descargo respondido - a resolver",IF(J436="Sí","Esperando respuesta descargo","Pendiente enviar descargo"))))))</f>
        <v/>
      </c>
      <c r="T436" s="18" t="str">
        <f aca="true">IF(B436="","",TODAY()-B436)</f>
        <v/>
      </c>
    </row>
    <row r="437" customFormat="false" ht="15" hidden="false" customHeight="false" outlineLevel="0" collapsed="false">
      <c r="A437" s="11" t="str">
        <f aca="false">IF(B437="","",ROW()-3)</f>
        <v/>
      </c>
      <c r="B437" s="12"/>
      <c r="C437" s="13"/>
      <c r="D437" s="14"/>
      <c r="E437" s="11"/>
      <c r="F437" s="15"/>
      <c r="G437" s="14"/>
      <c r="H437" s="15"/>
      <c r="I437" s="15"/>
      <c r="J437" s="16"/>
      <c r="K437" s="12"/>
      <c r="L437" s="12"/>
      <c r="M437" s="16"/>
      <c r="N437" s="12"/>
      <c r="O437" s="17"/>
      <c r="P437" s="16"/>
      <c r="Q437" s="12"/>
      <c r="R437" s="15"/>
      <c r="S437" s="16" t="str">
        <f aca="false">IF(B437="","",IF(M437="Desestimada","Cerrado - desestimada",IF(AND(M437="Aplicada",OR(P437="Pagada",P437="Incluida en expensas")),"Cerrado - multa cobrada",IF(M437="Aplicada","Multa aplicada - impaga",IF(L437&lt;&gt;"","Descargo respondido - a resolver",IF(J437="Sí","Esperando respuesta descargo","Pendiente enviar descargo"))))))</f>
        <v/>
      </c>
      <c r="T437" s="18" t="str">
        <f aca="true">IF(B437="","",TODAY()-B437)</f>
        <v/>
      </c>
    </row>
    <row r="438" customFormat="false" ht="15" hidden="false" customHeight="false" outlineLevel="0" collapsed="false">
      <c r="A438" s="11" t="str">
        <f aca="false">IF(B438="","",ROW()-3)</f>
        <v/>
      </c>
      <c r="B438" s="12"/>
      <c r="C438" s="13"/>
      <c r="D438" s="14"/>
      <c r="E438" s="11"/>
      <c r="F438" s="15"/>
      <c r="G438" s="14"/>
      <c r="H438" s="15"/>
      <c r="I438" s="15"/>
      <c r="J438" s="16"/>
      <c r="K438" s="12"/>
      <c r="L438" s="12"/>
      <c r="M438" s="16"/>
      <c r="N438" s="12"/>
      <c r="O438" s="17"/>
      <c r="P438" s="16"/>
      <c r="Q438" s="12"/>
      <c r="R438" s="15"/>
      <c r="S438" s="16" t="str">
        <f aca="false">IF(B438="","",IF(M438="Desestimada","Cerrado - desestimada",IF(AND(M438="Aplicada",OR(P438="Pagada",P438="Incluida en expensas")),"Cerrado - multa cobrada",IF(M438="Aplicada","Multa aplicada - impaga",IF(L438&lt;&gt;"","Descargo respondido - a resolver",IF(J438="Sí","Esperando respuesta descargo","Pendiente enviar descargo"))))))</f>
        <v/>
      </c>
      <c r="T438" s="18" t="str">
        <f aca="true">IF(B438="","",TODAY()-B438)</f>
        <v/>
      </c>
    </row>
    <row r="439" customFormat="false" ht="15" hidden="false" customHeight="false" outlineLevel="0" collapsed="false">
      <c r="A439" s="11" t="str">
        <f aca="false">IF(B439="","",ROW()-3)</f>
        <v/>
      </c>
      <c r="B439" s="12"/>
      <c r="C439" s="13"/>
      <c r="D439" s="14"/>
      <c r="E439" s="11"/>
      <c r="F439" s="15"/>
      <c r="G439" s="14"/>
      <c r="H439" s="15"/>
      <c r="I439" s="15"/>
      <c r="J439" s="16"/>
      <c r="K439" s="12"/>
      <c r="L439" s="12"/>
      <c r="M439" s="16"/>
      <c r="N439" s="12"/>
      <c r="O439" s="17"/>
      <c r="P439" s="16"/>
      <c r="Q439" s="12"/>
      <c r="R439" s="15"/>
      <c r="S439" s="16" t="str">
        <f aca="false">IF(B439="","",IF(M439="Desestimada","Cerrado - desestimada",IF(AND(M439="Aplicada",OR(P439="Pagada",P439="Incluida en expensas")),"Cerrado - multa cobrada",IF(M439="Aplicada","Multa aplicada - impaga",IF(L439&lt;&gt;"","Descargo respondido - a resolver",IF(J439="Sí","Esperando respuesta descargo","Pendiente enviar descargo"))))))</f>
        <v/>
      </c>
      <c r="T439" s="18" t="str">
        <f aca="true">IF(B439="","",TODAY()-B439)</f>
        <v/>
      </c>
    </row>
    <row r="440" customFormat="false" ht="15" hidden="false" customHeight="false" outlineLevel="0" collapsed="false">
      <c r="A440" s="11" t="str">
        <f aca="false">IF(B440="","",ROW()-3)</f>
        <v/>
      </c>
      <c r="B440" s="12"/>
      <c r="C440" s="13"/>
      <c r="D440" s="14"/>
      <c r="E440" s="11"/>
      <c r="F440" s="15"/>
      <c r="G440" s="14"/>
      <c r="H440" s="15"/>
      <c r="I440" s="15"/>
      <c r="J440" s="16"/>
      <c r="K440" s="12"/>
      <c r="L440" s="12"/>
      <c r="M440" s="16"/>
      <c r="N440" s="12"/>
      <c r="O440" s="17"/>
      <c r="P440" s="16"/>
      <c r="Q440" s="12"/>
      <c r="R440" s="15"/>
      <c r="S440" s="16" t="str">
        <f aca="false">IF(B440="","",IF(M440="Desestimada","Cerrado - desestimada",IF(AND(M440="Aplicada",OR(P440="Pagada",P440="Incluida en expensas")),"Cerrado - multa cobrada",IF(M440="Aplicada","Multa aplicada - impaga",IF(L440&lt;&gt;"","Descargo respondido - a resolver",IF(J440="Sí","Esperando respuesta descargo","Pendiente enviar descargo"))))))</f>
        <v/>
      </c>
      <c r="T440" s="18" t="str">
        <f aca="true">IF(B440="","",TODAY()-B440)</f>
        <v/>
      </c>
    </row>
    <row r="441" customFormat="false" ht="15" hidden="false" customHeight="false" outlineLevel="0" collapsed="false">
      <c r="A441" s="11" t="str">
        <f aca="false">IF(B441="","",ROW()-3)</f>
        <v/>
      </c>
      <c r="B441" s="12"/>
      <c r="C441" s="13"/>
      <c r="D441" s="14"/>
      <c r="E441" s="11"/>
      <c r="F441" s="15"/>
      <c r="G441" s="14"/>
      <c r="H441" s="15"/>
      <c r="I441" s="15"/>
      <c r="J441" s="16"/>
      <c r="K441" s="12"/>
      <c r="L441" s="12"/>
      <c r="M441" s="16"/>
      <c r="N441" s="12"/>
      <c r="O441" s="17"/>
      <c r="P441" s="16"/>
      <c r="Q441" s="12"/>
      <c r="R441" s="15"/>
      <c r="S441" s="16" t="str">
        <f aca="false">IF(B441="","",IF(M441="Desestimada","Cerrado - desestimada",IF(AND(M441="Aplicada",OR(P441="Pagada",P441="Incluida en expensas")),"Cerrado - multa cobrada",IF(M441="Aplicada","Multa aplicada - impaga",IF(L441&lt;&gt;"","Descargo respondido - a resolver",IF(J441="Sí","Esperando respuesta descargo","Pendiente enviar descargo"))))))</f>
        <v/>
      </c>
      <c r="T441" s="18" t="str">
        <f aca="true">IF(B441="","",TODAY()-B441)</f>
        <v/>
      </c>
    </row>
    <row r="442" customFormat="false" ht="15" hidden="false" customHeight="false" outlineLevel="0" collapsed="false">
      <c r="A442" s="11" t="str">
        <f aca="false">IF(B442="","",ROW()-3)</f>
        <v/>
      </c>
      <c r="B442" s="12"/>
      <c r="C442" s="13"/>
      <c r="D442" s="14"/>
      <c r="E442" s="11"/>
      <c r="F442" s="15"/>
      <c r="G442" s="14"/>
      <c r="H442" s="15"/>
      <c r="I442" s="15"/>
      <c r="J442" s="16"/>
      <c r="K442" s="12"/>
      <c r="L442" s="12"/>
      <c r="M442" s="16"/>
      <c r="N442" s="12"/>
      <c r="O442" s="17"/>
      <c r="P442" s="16"/>
      <c r="Q442" s="12"/>
      <c r="R442" s="15"/>
      <c r="S442" s="16" t="str">
        <f aca="false">IF(B442="","",IF(M442="Desestimada","Cerrado - desestimada",IF(AND(M442="Aplicada",OR(P442="Pagada",P442="Incluida en expensas")),"Cerrado - multa cobrada",IF(M442="Aplicada","Multa aplicada - impaga",IF(L442&lt;&gt;"","Descargo respondido - a resolver",IF(J442="Sí","Esperando respuesta descargo","Pendiente enviar descargo"))))))</f>
        <v/>
      </c>
      <c r="T442" s="18" t="str">
        <f aca="true">IF(B442="","",TODAY()-B442)</f>
        <v/>
      </c>
    </row>
    <row r="443" customFormat="false" ht="15" hidden="false" customHeight="false" outlineLevel="0" collapsed="false">
      <c r="A443" s="11" t="str">
        <f aca="false">IF(B443="","",ROW()-3)</f>
        <v/>
      </c>
      <c r="B443" s="12"/>
      <c r="C443" s="13"/>
      <c r="D443" s="14"/>
      <c r="E443" s="11"/>
      <c r="F443" s="15"/>
      <c r="G443" s="14"/>
      <c r="H443" s="15"/>
      <c r="I443" s="15"/>
      <c r="J443" s="16"/>
      <c r="K443" s="12"/>
      <c r="L443" s="12"/>
      <c r="M443" s="16"/>
      <c r="N443" s="12"/>
      <c r="O443" s="17"/>
      <c r="P443" s="16"/>
      <c r="Q443" s="12"/>
      <c r="R443" s="15"/>
      <c r="S443" s="16" t="str">
        <f aca="false">IF(B443="","",IF(M443="Desestimada","Cerrado - desestimada",IF(AND(M443="Aplicada",OR(P443="Pagada",P443="Incluida en expensas")),"Cerrado - multa cobrada",IF(M443="Aplicada","Multa aplicada - impaga",IF(L443&lt;&gt;"","Descargo respondido - a resolver",IF(J443="Sí","Esperando respuesta descargo","Pendiente enviar descargo"))))))</f>
        <v/>
      </c>
      <c r="T443" s="18" t="str">
        <f aca="true">IF(B443="","",TODAY()-B443)</f>
        <v/>
      </c>
    </row>
    <row r="444" customFormat="false" ht="15" hidden="false" customHeight="false" outlineLevel="0" collapsed="false">
      <c r="A444" s="11" t="str">
        <f aca="false">IF(B444="","",ROW()-3)</f>
        <v/>
      </c>
      <c r="B444" s="12"/>
      <c r="C444" s="13"/>
      <c r="D444" s="14"/>
      <c r="E444" s="11"/>
      <c r="F444" s="15"/>
      <c r="G444" s="14"/>
      <c r="H444" s="15"/>
      <c r="I444" s="15"/>
      <c r="J444" s="16"/>
      <c r="K444" s="12"/>
      <c r="L444" s="12"/>
      <c r="M444" s="16"/>
      <c r="N444" s="12"/>
      <c r="O444" s="17"/>
      <c r="P444" s="16"/>
      <c r="Q444" s="12"/>
      <c r="R444" s="15"/>
      <c r="S444" s="16" t="str">
        <f aca="false">IF(B444="","",IF(M444="Desestimada","Cerrado - desestimada",IF(AND(M444="Aplicada",OR(P444="Pagada",P444="Incluida en expensas")),"Cerrado - multa cobrada",IF(M444="Aplicada","Multa aplicada - impaga",IF(L444&lt;&gt;"","Descargo respondido - a resolver",IF(J444="Sí","Esperando respuesta descargo","Pendiente enviar descargo"))))))</f>
        <v/>
      </c>
      <c r="T444" s="18" t="str">
        <f aca="true">IF(B444="","",TODAY()-B444)</f>
        <v/>
      </c>
    </row>
    <row r="445" customFormat="false" ht="15" hidden="false" customHeight="false" outlineLevel="0" collapsed="false">
      <c r="A445" s="11" t="str">
        <f aca="false">IF(B445="","",ROW()-3)</f>
        <v/>
      </c>
      <c r="B445" s="12"/>
      <c r="C445" s="13"/>
      <c r="D445" s="14"/>
      <c r="E445" s="11"/>
      <c r="F445" s="15"/>
      <c r="G445" s="14"/>
      <c r="H445" s="15"/>
      <c r="I445" s="15"/>
      <c r="J445" s="16"/>
      <c r="K445" s="12"/>
      <c r="L445" s="12"/>
      <c r="M445" s="16"/>
      <c r="N445" s="12"/>
      <c r="O445" s="17"/>
      <c r="P445" s="16"/>
      <c r="Q445" s="12"/>
      <c r="R445" s="15"/>
      <c r="S445" s="16" t="str">
        <f aca="false">IF(B445="","",IF(M445="Desestimada","Cerrado - desestimada",IF(AND(M445="Aplicada",OR(P445="Pagada",P445="Incluida en expensas")),"Cerrado - multa cobrada",IF(M445="Aplicada","Multa aplicada - impaga",IF(L445&lt;&gt;"","Descargo respondido - a resolver",IF(J445="Sí","Esperando respuesta descargo","Pendiente enviar descargo"))))))</f>
        <v/>
      </c>
      <c r="T445" s="18" t="str">
        <f aca="true">IF(B445="","",TODAY()-B445)</f>
        <v/>
      </c>
    </row>
    <row r="446" customFormat="false" ht="15" hidden="false" customHeight="false" outlineLevel="0" collapsed="false">
      <c r="A446" s="11" t="str">
        <f aca="false">IF(B446="","",ROW()-3)</f>
        <v/>
      </c>
      <c r="B446" s="12"/>
      <c r="C446" s="13"/>
      <c r="D446" s="14"/>
      <c r="E446" s="11"/>
      <c r="F446" s="15"/>
      <c r="G446" s="14"/>
      <c r="H446" s="15"/>
      <c r="I446" s="15"/>
      <c r="J446" s="16"/>
      <c r="K446" s="12"/>
      <c r="L446" s="12"/>
      <c r="M446" s="16"/>
      <c r="N446" s="12"/>
      <c r="O446" s="17"/>
      <c r="P446" s="16"/>
      <c r="Q446" s="12"/>
      <c r="R446" s="15"/>
      <c r="S446" s="16" t="str">
        <f aca="false">IF(B446="","",IF(M446="Desestimada","Cerrado - desestimada",IF(AND(M446="Aplicada",OR(P446="Pagada",P446="Incluida en expensas")),"Cerrado - multa cobrada",IF(M446="Aplicada","Multa aplicada - impaga",IF(L446&lt;&gt;"","Descargo respondido - a resolver",IF(J446="Sí","Esperando respuesta descargo","Pendiente enviar descargo"))))))</f>
        <v/>
      </c>
      <c r="T446" s="18" t="str">
        <f aca="true">IF(B446="","",TODAY()-B446)</f>
        <v/>
      </c>
    </row>
    <row r="447" customFormat="false" ht="15" hidden="false" customHeight="false" outlineLevel="0" collapsed="false">
      <c r="A447" s="11" t="str">
        <f aca="false">IF(B447="","",ROW()-3)</f>
        <v/>
      </c>
      <c r="B447" s="12"/>
      <c r="C447" s="13"/>
      <c r="D447" s="14"/>
      <c r="E447" s="11"/>
      <c r="F447" s="15"/>
      <c r="G447" s="14"/>
      <c r="H447" s="15"/>
      <c r="I447" s="15"/>
      <c r="J447" s="16"/>
      <c r="K447" s="12"/>
      <c r="L447" s="12"/>
      <c r="M447" s="16"/>
      <c r="N447" s="12"/>
      <c r="O447" s="17"/>
      <c r="P447" s="16"/>
      <c r="Q447" s="12"/>
      <c r="R447" s="15"/>
      <c r="S447" s="16" t="str">
        <f aca="false">IF(B447="","",IF(M447="Desestimada","Cerrado - desestimada",IF(AND(M447="Aplicada",OR(P447="Pagada",P447="Incluida en expensas")),"Cerrado - multa cobrada",IF(M447="Aplicada","Multa aplicada - impaga",IF(L447&lt;&gt;"","Descargo respondido - a resolver",IF(J447="Sí","Esperando respuesta descargo","Pendiente enviar descargo"))))))</f>
        <v/>
      </c>
      <c r="T447" s="18" t="str">
        <f aca="true">IF(B447="","",TODAY()-B447)</f>
        <v/>
      </c>
    </row>
    <row r="448" customFormat="false" ht="15" hidden="false" customHeight="false" outlineLevel="0" collapsed="false">
      <c r="A448" s="11" t="str">
        <f aca="false">IF(B448="","",ROW()-3)</f>
        <v/>
      </c>
      <c r="B448" s="12"/>
      <c r="C448" s="13"/>
      <c r="D448" s="14"/>
      <c r="E448" s="11"/>
      <c r="F448" s="15"/>
      <c r="G448" s="14"/>
      <c r="H448" s="15"/>
      <c r="I448" s="15"/>
      <c r="J448" s="16"/>
      <c r="K448" s="12"/>
      <c r="L448" s="12"/>
      <c r="M448" s="16"/>
      <c r="N448" s="12"/>
      <c r="O448" s="17"/>
      <c r="P448" s="16"/>
      <c r="Q448" s="12"/>
      <c r="R448" s="15"/>
      <c r="S448" s="16" t="str">
        <f aca="false">IF(B448="","",IF(M448="Desestimada","Cerrado - desestimada",IF(AND(M448="Aplicada",OR(P448="Pagada",P448="Incluida en expensas")),"Cerrado - multa cobrada",IF(M448="Aplicada","Multa aplicada - impaga",IF(L448&lt;&gt;"","Descargo respondido - a resolver",IF(J448="Sí","Esperando respuesta descargo","Pendiente enviar descargo"))))))</f>
        <v/>
      </c>
      <c r="T448" s="18" t="str">
        <f aca="true">IF(B448="","",TODAY()-B448)</f>
        <v/>
      </c>
    </row>
    <row r="449" customFormat="false" ht="15" hidden="false" customHeight="false" outlineLevel="0" collapsed="false">
      <c r="A449" s="11" t="str">
        <f aca="false">IF(B449="","",ROW()-3)</f>
        <v/>
      </c>
      <c r="B449" s="12"/>
      <c r="C449" s="13"/>
      <c r="D449" s="14"/>
      <c r="E449" s="11"/>
      <c r="F449" s="15"/>
      <c r="G449" s="14"/>
      <c r="H449" s="15"/>
      <c r="I449" s="15"/>
      <c r="J449" s="16"/>
      <c r="K449" s="12"/>
      <c r="L449" s="12"/>
      <c r="M449" s="16"/>
      <c r="N449" s="12"/>
      <c r="O449" s="17"/>
      <c r="P449" s="16"/>
      <c r="Q449" s="12"/>
      <c r="R449" s="15"/>
      <c r="S449" s="16" t="str">
        <f aca="false">IF(B449="","",IF(M449="Desestimada","Cerrado - desestimada",IF(AND(M449="Aplicada",OR(P449="Pagada",P449="Incluida en expensas")),"Cerrado - multa cobrada",IF(M449="Aplicada","Multa aplicada - impaga",IF(L449&lt;&gt;"","Descargo respondido - a resolver",IF(J449="Sí","Esperando respuesta descargo","Pendiente enviar descargo"))))))</f>
        <v/>
      </c>
      <c r="T449" s="18" t="str">
        <f aca="true">IF(B449="","",TODAY()-B449)</f>
        <v/>
      </c>
    </row>
    <row r="450" customFormat="false" ht="15" hidden="false" customHeight="false" outlineLevel="0" collapsed="false">
      <c r="A450" s="11" t="str">
        <f aca="false">IF(B450="","",ROW()-3)</f>
        <v/>
      </c>
      <c r="B450" s="12"/>
      <c r="C450" s="13"/>
      <c r="D450" s="14"/>
      <c r="E450" s="11"/>
      <c r="F450" s="15"/>
      <c r="G450" s="14"/>
      <c r="H450" s="15"/>
      <c r="I450" s="15"/>
      <c r="J450" s="16"/>
      <c r="K450" s="12"/>
      <c r="L450" s="12"/>
      <c r="M450" s="16"/>
      <c r="N450" s="12"/>
      <c r="O450" s="17"/>
      <c r="P450" s="16"/>
      <c r="Q450" s="12"/>
      <c r="R450" s="15"/>
      <c r="S450" s="16" t="str">
        <f aca="false">IF(B450="","",IF(M450="Desestimada","Cerrado - desestimada",IF(AND(M450="Aplicada",OR(P450="Pagada",P450="Incluida en expensas")),"Cerrado - multa cobrada",IF(M450="Aplicada","Multa aplicada - impaga",IF(L450&lt;&gt;"","Descargo respondido - a resolver",IF(J450="Sí","Esperando respuesta descargo","Pendiente enviar descargo"))))))</f>
        <v/>
      </c>
      <c r="T450" s="18" t="str">
        <f aca="true">IF(B450="","",TODAY()-B450)</f>
        <v/>
      </c>
    </row>
    <row r="451" customFormat="false" ht="15" hidden="false" customHeight="false" outlineLevel="0" collapsed="false">
      <c r="A451" s="11" t="str">
        <f aca="false">IF(B451="","",ROW()-3)</f>
        <v/>
      </c>
      <c r="B451" s="12"/>
      <c r="C451" s="13"/>
      <c r="D451" s="14"/>
      <c r="E451" s="11"/>
      <c r="F451" s="15"/>
      <c r="G451" s="14"/>
      <c r="H451" s="15"/>
      <c r="I451" s="15"/>
      <c r="J451" s="16"/>
      <c r="K451" s="12"/>
      <c r="L451" s="12"/>
      <c r="M451" s="16"/>
      <c r="N451" s="12"/>
      <c r="O451" s="17"/>
      <c r="P451" s="16"/>
      <c r="Q451" s="12"/>
      <c r="R451" s="15"/>
      <c r="S451" s="16" t="str">
        <f aca="false">IF(B451="","",IF(M451="Desestimada","Cerrado - desestimada",IF(AND(M451="Aplicada",OR(P451="Pagada",P451="Incluida en expensas")),"Cerrado - multa cobrada",IF(M451="Aplicada","Multa aplicada - impaga",IF(L451&lt;&gt;"","Descargo respondido - a resolver",IF(J451="Sí","Esperando respuesta descargo","Pendiente enviar descargo"))))))</f>
        <v/>
      </c>
      <c r="T451" s="18" t="str">
        <f aca="true">IF(B451="","",TODAY()-B451)</f>
        <v/>
      </c>
    </row>
    <row r="452" customFormat="false" ht="15" hidden="false" customHeight="false" outlineLevel="0" collapsed="false">
      <c r="A452" s="11" t="str">
        <f aca="false">IF(B452="","",ROW()-3)</f>
        <v/>
      </c>
      <c r="B452" s="12"/>
      <c r="C452" s="13"/>
      <c r="D452" s="14"/>
      <c r="E452" s="11"/>
      <c r="F452" s="15"/>
      <c r="G452" s="14"/>
      <c r="H452" s="15"/>
      <c r="I452" s="15"/>
      <c r="J452" s="16"/>
      <c r="K452" s="12"/>
      <c r="L452" s="12"/>
      <c r="M452" s="16"/>
      <c r="N452" s="12"/>
      <c r="O452" s="17"/>
      <c r="P452" s="16"/>
      <c r="Q452" s="12"/>
      <c r="R452" s="15"/>
      <c r="S452" s="16" t="str">
        <f aca="false">IF(B452="","",IF(M452="Desestimada","Cerrado - desestimada",IF(AND(M452="Aplicada",OR(P452="Pagada",P452="Incluida en expensas")),"Cerrado - multa cobrada",IF(M452="Aplicada","Multa aplicada - impaga",IF(L452&lt;&gt;"","Descargo respondido - a resolver",IF(J452="Sí","Esperando respuesta descargo","Pendiente enviar descargo"))))))</f>
        <v/>
      </c>
      <c r="T452" s="18" t="str">
        <f aca="true">IF(B452="","",TODAY()-B452)</f>
        <v/>
      </c>
    </row>
    <row r="453" customFormat="false" ht="15" hidden="false" customHeight="false" outlineLevel="0" collapsed="false">
      <c r="A453" s="11" t="str">
        <f aca="false">IF(B453="","",ROW()-3)</f>
        <v/>
      </c>
      <c r="B453" s="12"/>
      <c r="C453" s="13"/>
      <c r="D453" s="14"/>
      <c r="E453" s="11"/>
      <c r="F453" s="15"/>
      <c r="G453" s="14"/>
      <c r="H453" s="15"/>
      <c r="I453" s="15"/>
      <c r="J453" s="16"/>
      <c r="K453" s="12"/>
      <c r="L453" s="12"/>
      <c r="M453" s="16"/>
      <c r="N453" s="12"/>
      <c r="O453" s="17"/>
      <c r="P453" s="16"/>
      <c r="Q453" s="12"/>
      <c r="R453" s="15"/>
      <c r="S453" s="16" t="str">
        <f aca="false">IF(B453="","",IF(M453="Desestimada","Cerrado - desestimada",IF(AND(M453="Aplicada",OR(P453="Pagada",P453="Incluida en expensas")),"Cerrado - multa cobrada",IF(M453="Aplicada","Multa aplicada - impaga",IF(L453&lt;&gt;"","Descargo respondido - a resolver",IF(J453="Sí","Esperando respuesta descargo","Pendiente enviar descargo"))))))</f>
        <v/>
      </c>
      <c r="T453" s="18" t="str">
        <f aca="true">IF(B453="","",TODAY()-B453)</f>
        <v/>
      </c>
    </row>
    <row r="454" customFormat="false" ht="15" hidden="false" customHeight="false" outlineLevel="0" collapsed="false">
      <c r="A454" s="11" t="str">
        <f aca="false">IF(B454="","",ROW()-3)</f>
        <v/>
      </c>
      <c r="B454" s="12"/>
      <c r="C454" s="13"/>
      <c r="D454" s="14"/>
      <c r="E454" s="11"/>
      <c r="F454" s="15"/>
      <c r="G454" s="14"/>
      <c r="H454" s="15"/>
      <c r="I454" s="15"/>
      <c r="J454" s="16"/>
      <c r="K454" s="12"/>
      <c r="L454" s="12"/>
      <c r="M454" s="16"/>
      <c r="N454" s="12"/>
      <c r="O454" s="17"/>
      <c r="P454" s="16"/>
      <c r="Q454" s="12"/>
      <c r="R454" s="15"/>
      <c r="S454" s="16" t="str">
        <f aca="false">IF(B454="","",IF(M454="Desestimada","Cerrado - desestimada",IF(AND(M454="Aplicada",OR(P454="Pagada",P454="Incluida en expensas")),"Cerrado - multa cobrada",IF(M454="Aplicada","Multa aplicada - impaga",IF(L454&lt;&gt;"","Descargo respondido - a resolver",IF(J454="Sí","Esperando respuesta descargo","Pendiente enviar descargo"))))))</f>
        <v/>
      </c>
      <c r="T454" s="18" t="str">
        <f aca="true">IF(B454="","",TODAY()-B454)</f>
        <v/>
      </c>
    </row>
    <row r="455" customFormat="false" ht="15" hidden="false" customHeight="false" outlineLevel="0" collapsed="false">
      <c r="A455" s="11" t="str">
        <f aca="false">IF(B455="","",ROW()-3)</f>
        <v/>
      </c>
      <c r="B455" s="12"/>
      <c r="C455" s="13"/>
      <c r="D455" s="14"/>
      <c r="E455" s="11"/>
      <c r="F455" s="15"/>
      <c r="G455" s="14"/>
      <c r="H455" s="15"/>
      <c r="I455" s="15"/>
      <c r="J455" s="16"/>
      <c r="K455" s="12"/>
      <c r="L455" s="12"/>
      <c r="M455" s="16"/>
      <c r="N455" s="12"/>
      <c r="O455" s="17"/>
      <c r="P455" s="16"/>
      <c r="Q455" s="12"/>
      <c r="R455" s="15"/>
      <c r="S455" s="16" t="str">
        <f aca="false">IF(B455="","",IF(M455="Desestimada","Cerrado - desestimada",IF(AND(M455="Aplicada",OR(P455="Pagada",P455="Incluida en expensas")),"Cerrado - multa cobrada",IF(M455="Aplicada","Multa aplicada - impaga",IF(L455&lt;&gt;"","Descargo respondido - a resolver",IF(J455="Sí","Esperando respuesta descargo","Pendiente enviar descargo"))))))</f>
        <v/>
      </c>
      <c r="T455" s="18" t="str">
        <f aca="true">IF(B455="","",TODAY()-B455)</f>
        <v/>
      </c>
    </row>
    <row r="456" customFormat="false" ht="15" hidden="false" customHeight="false" outlineLevel="0" collapsed="false">
      <c r="A456" s="11" t="str">
        <f aca="false">IF(B456="","",ROW()-3)</f>
        <v/>
      </c>
      <c r="B456" s="12"/>
      <c r="C456" s="13"/>
      <c r="D456" s="14"/>
      <c r="E456" s="11"/>
      <c r="F456" s="15"/>
      <c r="G456" s="14"/>
      <c r="H456" s="15"/>
      <c r="I456" s="15"/>
      <c r="J456" s="16"/>
      <c r="K456" s="12"/>
      <c r="L456" s="12"/>
      <c r="M456" s="16"/>
      <c r="N456" s="12"/>
      <c r="O456" s="17"/>
      <c r="P456" s="16"/>
      <c r="Q456" s="12"/>
      <c r="R456" s="15"/>
      <c r="S456" s="16" t="str">
        <f aca="false">IF(B456="","",IF(M456="Desestimada","Cerrado - desestimada",IF(AND(M456="Aplicada",OR(P456="Pagada",P456="Incluida en expensas")),"Cerrado - multa cobrada",IF(M456="Aplicada","Multa aplicada - impaga",IF(L456&lt;&gt;"","Descargo respondido - a resolver",IF(J456="Sí","Esperando respuesta descargo","Pendiente enviar descargo"))))))</f>
        <v/>
      </c>
      <c r="T456" s="18" t="str">
        <f aca="true">IF(B456="","",TODAY()-B456)</f>
        <v/>
      </c>
    </row>
    <row r="457" customFormat="false" ht="15" hidden="false" customHeight="false" outlineLevel="0" collapsed="false">
      <c r="A457" s="11" t="str">
        <f aca="false">IF(B457="","",ROW()-3)</f>
        <v/>
      </c>
      <c r="B457" s="12"/>
      <c r="C457" s="13"/>
      <c r="D457" s="14"/>
      <c r="E457" s="11"/>
      <c r="F457" s="15"/>
      <c r="G457" s="14"/>
      <c r="H457" s="15"/>
      <c r="I457" s="15"/>
      <c r="J457" s="16"/>
      <c r="K457" s="12"/>
      <c r="L457" s="12"/>
      <c r="M457" s="16"/>
      <c r="N457" s="12"/>
      <c r="O457" s="17"/>
      <c r="P457" s="16"/>
      <c r="Q457" s="12"/>
      <c r="R457" s="15"/>
      <c r="S457" s="16" t="str">
        <f aca="false">IF(B457="","",IF(M457="Desestimada","Cerrado - desestimada",IF(AND(M457="Aplicada",OR(P457="Pagada",P457="Incluida en expensas")),"Cerrado - multa cobrada",IF(M457="Aplicada","Multa aplicada - impaga",IF(L457&lt;&gt;"","Descargo respondido - a resolver",IF(J457="Sí","Esperando respuesta descargo","Pendiente enviar descargo"))))))</f>
        <v/>
      </c>
      <c r="T457" s="18" t="str">
        <f aca="true">IF(B457="","",TODAY()-B457)</f>
        <v/>
      </c>
    </row>
    <row r="458" customFormat="false" ht="15" hidden="false" customHeight="false" outlineLevel="0" collapsed="false">
      <c r="A458" s="11" t="str">
        <f aca="false">IF(B458="","",ROW()-3)</f>
        <v/>
      </c>
      <c r="B458" s="12"/>
      <c r="C458" s="13"/>
      <c r="D458" s="14"/>
      <c r="E458" s="11"/>
      <c r="F458" s="15"/>
      <c r="G458" s="14"/>
      <c r="H458" s="15"/>
      <c r="I458" s="15"/>
      <c r="J458" s="16"/>
      <c r="K458" s="12"/>
      <c r="L458" s="12"/>
      <c r="M458" s="16"/>
      <c r="N458" s="12"/>
      <c r="O458" s="17"/>
      <c r="P458" s="16"/>
      <c r="Q458" s="12"/>
      <c r="R458" s="15"/>
      <c r="S458" s="16" t="str">
        <f aca="false">IF(B458="","",IF(M458="Desestimada","Cerrado - desestimada",IF(AND(M458="Aplicada",OR(P458="Pagada",P458="Incluida en expensas")),"Cerrado - multa cobrada",IF(M458="Aplicada","Multa aplicada - impaga",IF(L458&lt;&gt;"","Descargo respondido - a resolver",IF(J458="Sí","Esperando respuesta descargo","Pendiente enviar descargo"))))))</f>
        <v/>
      </c>
      <c r="T458" s="18" t="str">
        <f aca="true">IF(B458="","",TODAY()-B458)</f>
        <v/>
      </c>
    </row>
    <row r="459" customFormat="false" ht="15" hidden="false" customHeight="false" outlineLevel="0" collapsed="false">
      <c r="A459" s="11" t="str">
        <f aca="false">IF(B459="","",ROW()-3)</f>
        <v/>
      </c>
      <c r="B459" s="12"/>
      <c r="C459" s="13"/>
      <c r="D459" s="14"/>
      <c r="E459" s="11"/>
      <c r="F459" s="15"/>
      <c r="G459" s="14"/>
      <c r="H459" s="15"/>
      <c r="I459" s="15"/>
      <c r="J459" s="16"/>
      <c r="K459" s="12"/>
      <c r="L459" s="12"/>
      <c r="M459" s="16"/>
      <c r="N459" s="12"/>
      <c r="O459" s="17"/>
      <c r="P459" s="16"/>
      <c r="Q459" s="12"/>
      <c r="R459" s="15"/>
      <c r="S459" s="16" t="str">
        <f aca="false">IF(B459="","",IF(M459="Desestimada","Cerrado - desestimada",IF(AND(M459="Aplicada",OR(P459="Pagada",P459="Incluida en expensas")),"Cerrado - multa cobrada",IF(M459="Aplicada","Multa aplicada - impaga",IF(L459&lt;&gt;"","Descargo respondido - a resolver",IF(J459="Sí","Esperando respuesta descargo","Pendiente enviar descargo"))))))</f>
        <v/>
      </c>
      <c r="T459" s="18" t="str">
        <f aca="true">IF(B459="","",TODAY()-B459)</f>
        <v/>
      </c>
    </row>
    <row r="460" customFormat="false" ht="15" hidden="false" customHeight="false" outlineLevel="0" collapsed="false">
      <c r="A460" s="11" t="str">
        <f aca="false">IF(B460="","",ROW()-3)</f>
        <v/>
      </c>
      <c r="B460" s="12"/>
      <c r="C460" s="13"/>
      <c r="D460" s="14"/>
      <c r="E460" s="11"/>
      <c r="F460" s="15"/>
      <c r="G460" s="14"/>
      <c r="H460" s="15"/>
      <c r="I460" s="15"/>
      <c r="J460" s="16"/>
      <c r="K460" s="12"/>
      <c r="L460" s="12"/>
      <c r="M460" s="16"/>
      <c r="N460" s="12"/>
      <c r="O460" s="17"/>
      <c r="P460" s="16"/>
      <c r="Q460" s="12"/>
      <c r="R460" s="15"/>
      <c r="S460" s="16" t="str">
        <f aca="false">IF(B460="","",IF(M460="Desestimada","Cerrado - desestimada",IF(AND(M460="Aplicada",OR(P460="Pagada",P460="Incluida en expensas")),"Cerrado - multa cobrada",IF(M460="Aplicada","Multa aplicada - impaga",IF(L460&lt;&gt;"","Descargo respondido - a resolver",IF(J460="Sí","Esperando respuesta descargo","Pendiente enviar descargo"))))))</f>
        <v/>
      </c>
      <c r="T460" s="18" t="str">
        <f aca="true">IF(B460="","",TODAY()-B460)</f>
        <v/>
      </c>
    </row>
    <row r="461" customFormat="false" ht="15" hidden="false" customHeight="false" outlineLevel="0" collapsed="false">
      <c r="A461" s="11" t="str">
        <f aca="false">IF(B461="","",ROW()-3)</f>
        <v/>
      </c>
      <c r="B461" s="12"/>
      <c r="C461" s="13"/>
      <c r="D461" s="14"/>
      <c r="E461" s="11"/>
      <c r="F461" s="15"/>
      <c r="G461" s="14"/>
      <c r="H461" s="15"/>
      <c r="I461" s="15"/>
      <c r="J461" s="16"/>
      <c r="K461" s="12"/>
      <c r="L461" s="12"/>
      <c r="M461" s="16"/>
      <c r="N461" s="12"/>
      <c r="O461" s="17"/>
      <c r="P461" s="16"/>
      <c r="Q461" s="12"/>
      <c r="R461" s="15"/>
      <c r="S461" s="16" t="str">
        <f aca="false">IF(B461="","",IF(M461="Desestimada","Cerrado - desestimada",IF(AND(M461="Aplicada",OR(P461="Pagada",P461="Incluida en expensas")),"Cerrado - multa cobrada",IF(M461="Aplicada","Multa aplicada - impaga",IF(L461&lt;&gt;"","Descargo respondido - a resolver",IF(J461="Sí","Esperando respuesta descargo","Pendiente enviar descargo"))))))</f>
        <v/>
      </c>
      <c r="T461" s="18" t="str">
        <f aca="true">IF(B461="","",TODAY()-B461)</f>
        <v/>
      </c>
    </row>
    <row r="462" customFormat="false" ht="15" hidden="false" customHeight="false" outlineLevel="0" collapsed="false">
      <c r="A462" s="11" t="str">
        <f aca="false">IF(B462="","",ROW()-3)</f>
        <v/>
      </c>
      <c r="B462" s="12"/>
      <c r="C462" s="13"/>
      <c r="D462" s="14"/>
      <c r="E462" s="11"/>
      <c r="F462" s="15"/>
      <c r="G462" s="14"/>
      <c r="H462" s="15"/>
      <c r="I462" s="15"/>
      <c r="J462" s="16"/>
      <c r="K462" s="12"/>
      <c r="L462" s="12"/>
      <c r="M462" s="16"/>
      <c r="N462" s="12"/>
      <c r="O462" s="17"/>
      <c r="P462" s="16"/>
      <c r="Q462" s="12"/>
      <c r="R462" s="15"/>
      <c r="S462" s="16" t="str">
        <f aca="false">IF(B462="","",IF(M462="Desestimada","Cerrado - desestimada",IF(AND(M462="Aplicada",OR(P462="Pagada",P462="Incluida en expensas")),"Cerrado - multa cobrada",IF(M462="Aplicada","Multa aplicada - impaga",IF(L462&lt;&gt;"","Descargo respondido - a resolver",IF(J462="Sí","Esperando respuesta descargo","Pendiente enviar descargo"))))))</f>
        <v/>
      </c>
      <c r="T462" s="18" t="str">
        <f aca="true">IF(B462="","",TODAY()-B462)</f>
        <v/>
      </c>
    </row>
    <row r="463" customFormat="false" ht="15" hidden="false" customHeight="false" outlineLevel="0" collapsed="false">
      <c r="A463" s="11" t="str">
        <f aca="false">IF(B463="","",ROW()-3)</f>
        <v/>
      </c>
      <c r="B463" s="12"/>
      <c r="C463" s="13"/>
      <c r="D463" s="14"/>
      <c r="E463" s="11"/>
      <c r="F463" s="15"/>
      <c r="G463" s="14"/>
      <c r="H463" s="15"/>
      <c r="I463" s="15"/>
      <c r="J463" s="16"/>
      <c r="K463" s="12"/>
      <c r="L463" s="12"/>
      <c r="M463" s="16"/>
      <c r="N463" s="12"/>
      <c r="O463" s="17"/>
      <c r="P463" s="16"/>
      <c r="Q463" s="12"/>
      <c r="R463" s="15"/>
      <c r="S463" s="16" t="str">
        <f aca="false">IF(B463="","",IF(M463="Desestimada","Cerrado - desestimada",IF(AND(M463="Aplicada",OR(P463="Pagada",P463="Incluida en expensas")),"Cerrado - multa cobrada",IF(M463="Aplicada","Multa aplicada - impaga",IF(L463&lt;&gt;"","Descargo respondido - a resolver",IF(J463="Sí","Esperando respuesta descargo","Pendiente enviar descargo"))))))</f>
        <v/>
      </c>
      <c r="T463" s="18" t="str">
        <f aca="true">IF(B463="","",TODAY()-B463)</f>
        <v/>
      </c>
    </row>
    <row r="464" customFormat="false" ht="15" hidden="false" customHeight="false" outlineLevel="0" collapsed="false">
      <c r="A464" s="11" t="str">
        <f aca="false">IF(B464="","",ROW()-3)</f>
        <v/>
      </c>
      <c r="B464" s="12"/>
      <c r="C464" s="13"/>
      <c r="D464" s="14"/>
      <c r="E464" s="11"/>
      <c r="F464" s="15"/>
      <c r="G464" s="14"/>
      <c r="H464" s="15"/>
      <c r="I464" s="15"/>
      <c r="J464" s="16"/>
      <c r="K464" s="12"/>
      <c r="L464" s="12"/>
      <c r="M464" s="16"/>
      <c r="N464" s="12"/>
      <c r="O464" s="17"/>
      <c r="P464" s="16"/>
      <c r="Q464" s="12"/>
      <c r="R464" s="15"/>
      <c r="S464" s="16" t="str">
        <f aca="false">IF(B464="","",IF(M464="Desestimada","Cerrado - desestimada",IF(AND(M464="Aplicada",OR(P464="Pagada",P464="Incluida en expensas")),"Cerrado - multa cobrada",IF(M464="Aplicada","Multa aplicada - impaga",IF(L464&lt;&gt;"","Descargo respondido - a resolver",IF(J464="Sí","Esperando respuesta descargo","Pendiente enviar descargo"))))))</f>
        <v/>
      </c>
      <c r="T464" s="18" t="str">
        <f aca="true">IF(B464="","",TODAY()-B464)</f>
        <v/>
      </c>
    </row>
    <row r="465" customFormat="false" ht="15" hidden="false" customHeight="false" outlineLevel="0" collapsed="false">
      <c r="A465" s="11" t="str">
        <f aca="false">IF(B465="","",ROW()-3)</f>
        <v/>
      </c>
      <c r="B465" s="12"/>
      <c r="C465" s="13"/>
      <c r="D465" s="14"/>
      <c r="E465" s="11"/>
      <c r="F465" s="15"/>
      <c r="G465" s="14"/>
      <c r="H465" s="15"/>
      <c r="I465" s="15"/>
      <c r="J465" s="16"/>
      <c r="K465" s="12"/>
      <c r="L465" s="12"/>
      <c r="M465" s="16"/>
      <c r="N465" s="12"/>
      <c r="O465" s="17"/>
      <c r="P465" s="16"/>
      <c r="Q465" s="12"/>
      <c r="R465" s="15"/>
      <c r="S465" s="16" t="str">
        <f aca="false">IF(B465="","",IF(M465="Desestimada","Cerrado - desestimada",IF(AND(M465="Aplicada",OR(P465="Pagada",P465="Incluida en expensas")),"Cerrado - multa cobrada",IF(M465="Aplicada","Multa aplicada - impaga",IF(L465&lt;&gt;"","Descargo respondido - a resolver",IF(J465="Sí","Esperando respuesta descargo","Pendiente enviar descargo"))))))</f>
        <v/>
      </c>
      <c r="T465" s="18" t="str">
        <f aca="true">IF(B465="","",TODAY()-B465)</f>
        <v/>
      </c>
    </row>
    <row r="466" customFormat="false" ht="15" hidden="false" customHeight="false" outlineLevel="0" collapsed="false">
      <c r="A466" s="11" t="str">
        <f aca="false">IF(B466="","",ROW()-3)</f>
        <v/>
      </c>
      <c r="B466" s="12"/>
      <c r="C466" s="13"/>
      <c r="D466" s="14"/>
      <c r="E466" s="11"/>
      <c r="F466" s="15"/>
      <c r="G466" s="14"/>
      <c r="H466" s="15"/>
      <c r="I466" s="15"/>
      <c r="J466" s="16"/>
      <c r="K466" s="12"/>
      <c r="L466" s="12"/>
      <c r="M466" s="16"/>
      <c r="N466" s="12"/>
      <c r="O466" s="17"/>
      <c r="P466" s="16"/>
      <c r="Q466" s="12"/>
      <c r="R466" s="15"/>
      <c r="S466" s="16" t="str">
        <f aca="false">IF(B466="","",IF(M466="Desestimada","Cerrado - desestimada",IF(AND(M466="Aplicada",OR(P466="Pagada",P466="Incluida en expensas")),"Cerrado - multa cobrada",IF(M466="Aplicada","Multa aplicada - impaga",IF(L466&lt;&gt;"","Descargo respondido - a resolver",IF(J466="Sí","Esperando respuesta descargo","Pendiente enviar descargo"))))))</f>
        <v/>
      </c>
      <c r="T466" s="18" t="str">
        <f aca="true">IF(B466="","",TODAY()-B466)</f>
        <v/>
      </c>
    </row>
    <row r="467" customFormat="false" ht="15" hidden="false" customHeight="false" outlineLevel="0" collapsed="false">
      <c r="A467" s="11" t="str">
        <f aca="false">IF(B467="","",ROW()-3)</f>
        <v/>
      </c>
      <c r="B467" s="12"/>
      <c r="C467" s="13"/>
      <c r="D467" s="14"/>
      <c r="E467" s="11"/>
      <c r="F467" s="15"/>
      <c r="G467" s="14"/>
      <c r="H467" s="15"/>
      <c r="I467" s="15"/>
      <c r="J467" s="16"/>
      <c r="K467" s="12"/>
      <c r="L467" s="12"/>
      <c r="M467" s="16"/>
      <c r="N467" s="12"/>
      <c r="O467" s="17"/>
      <c r="P467" s="16"/>
      <c r="Q467" s="12"/>
      <c r="R467" s="15"/>
      <c r="S467" s="16" t="str">
        <f aca="false">IF(B467="","",IF(M467="Desestimada","Cerrado - desestimada",IF(AND(M467="Aplicada",OR(P467="Pagada",P467="Incluida en expensas")),"Cerrado - multa cobrada",IF(M467="Aplicada","Multa aplicada - impaga",IF(L467&lt;&gt;"","Descargo respondido - a resolver",IF(J467="Sí","Esperando respuesta descargo","Pendiente enviar descargo"))))))</f>
        <v/>
      </c>
      <c r="T467" s="18" t="str">
        <f aca="true">IF(B467="","",TODAY()-B467)</f>
        <v/>
      </c>
    </row>
    <row r="468" customFormat="false" ht="15" hidden="false" customHeight="false" outlineLevel="0" collapsed="false">
      <c r="A468" s="11" t="str">
        <f aca="false">IF(B468="","",ROW()-3)</f>
        <v/>
      </c>
      <c r="B468" s="12"/>
      <c r="C468" s="13"/>
      <c r="D468" s="14"/>
      <c r="E468" s="11"/>
      <c r="F468" s="15"/>
      <c r="G468" s="14"/>
      <c r="H468" s="15"/>
      <c r="I468" s="15"/>
      <c r="J468" s="16"/>
      <c r="K468" s="12"/>
      <c r="L468" s="12"/>
      <c r="M468" s="16"/>
      <c r="N468" s="12"/>
      <c r="O468" s="17"/>
      <c r="P468" s="16"/>
      <c r="Q468" s="12"/>
      <c r="R468" s="15"/>
      <c r="S468" s="16" t="str">
        <f aca="false">IF(B468="","",IF(M468="Desestimada","Cerrado - desestimada",IF(AND(M468="Aplicada",OR(P468="Pagada",P468="Incluida en expensas")),"Cerrado - multa cobrada",IF(M468="Aplicada","Multa aplicada - impaga",IF(L468&lt;&gt;"","Descargo respondido - a resolver",IF(J468="Sí","Esperando respuesta descargo","Pendiente enviar descargo"))))))</f>
        <v/>
      </c>
      <c r="T468" s="18" t="str">
        <f aca="true">IF(B468="","",TODAY()-B468)</f>
        <v/>
      </c>
    </row>
    <row r="469" customFormat="false" ht="15" hidden="false" customHeight="false" outlineLevel="0" collapsed="false">
      <c r="A469" s="11" t="str">
        <f aca="false">IF(B469="","",ROW()-3)</f>
        <v/>
      </c>
      <c r="B469" s="12"/>
      <c r="C469" s="13"/>
      <c r="D469" s="14"/>
      <c r="E469" s="11"/>
      <c r="F469" s="15"/>
      <c r="G469" s="14"/>
      <c r="H469" s="15"/>
      <c r="I469" s="15"/>
      <c r="J469" s="16"/>
      <c r="K469" s="12"/>
      <c r="L469" s="12"/>
      <c r="M469" s="16"/>
      <c r="N469" s="12"/>
      <c r="O469" s="17"/>
      <c r="P469" s="16"/>
      <c r="Q469" s="12"/>
      <c r="R469" s="15"/>
      <c r="S469" s="16" t="str">
        <f aca="false">IF(B469="","",IF(M469="Desestimada","Cerrado - desestimada",IF(AND(M469="Aplicada",OR(P469="Pagada",P469="Incluida en expensas")),"Cerrado - multa cobrada",IF(M469="Aplicada","Multa aplicada - impaga",IF(L469&lt;&gt;"","Descargo respondido - a resolver",IF(J469="Sí","Esperando respuesta descargo","Pendiente enviar descargo"))))))</f>
        <v/>
      </c>
      <c r="T469" s="18" t="str">
        <f aca="true">IF(B469="","",TODAY()-B469)</f>
        <v/>
      </c>
    </row>
    <row r="470" customFormat="false" ht="15" hidden="false" customHeight="false" outlineLevel="0" collapsed="false">
      <c r="A470" s="11" t="str">
        <f aca="false">IF(B470="","",ROW()-3)</f>
        <v/>
      </c>
      <c r="B470" s="12"/>
      <c r="C470" s="13"/>
      <c r="D470" s="14"/>
      <c r="E470" s="11"/>
      <c r="F470" s="15"/>
      <c r="G470" s="14"/>
      <c r="H470" s="15"/>
      <c r="I470" s="15"/>
      <c r="J470" s="16"/>
      <c r="K470" s="12"/>
      <c r="L470" s="12"/>
      <c r="M470" s="16"/>
      <c r="N470" s="12"/>
      <c r="O470" s="17"/>
      <c r="P470" s="16"/>
      <c r="Q470" s="12"/>
      <c r="R470" s="15"/>
      <c r="S470" s="16" t="str">
        <f aca="false">IF(B470="","",IF(M470="Desestimada","Cerrado - desestimada",IF(AND(M470="Aplicada",OR(P470="Pagada",P470="Incluida en expensas")),"Cerrado - multa cobrada",IF(M470="Aplicada","Multa aplicada - impaga",IF(L470&lt;&gt;"","Descargo respondido - a resolver",IF(J470="Sí","Esperando respuesta descargo","Pendiente enviar descargo"))))))</f>
        <v/>
      </c>
      <c r="T470" s="18" t="str">
        <f aca="true">IF(B470="","",TODAY()-B470)</f>
        <v/>
      </c>
    </row>
    <row r="471" customFormat="false" ht="15" hidden="false" customHeight="false" outlineLevel="0" collapsed="false">
      <c r="A471" s="11" t="str">
        <f aca="false">IF(B471="","",ROW()-3)</f>
        <v/>
      </c>
      <c r="B471" s="12"/>
      <c r="C471" s="13"/>
      <c r="D471" s="14"/>
      <c r="E471" s="11"/>
      <c r="F471" s="15"/>
      <c r="G471" s="14"/>
      <c r="H471" s="15"/>
      <c r="I471" s="15"/>
      <c r="J471" s="16"/>
      <c r="K471" s="12"/>
      <c r="L471" s="12"/>
      <c r="M471" s="16"/>
      <c r="N471" s="12"/>
      <c r="O471" s="17"/>
      <c r="P471" s="16"/>
      <c r="Q471" s="12"/>
      <c r="R471" s="15"/>
      <c r="S471" s="16" t="str">
        <f aca="false">IF(B471="","",IF(M471="Desestimada","Cerrado - desestimada",IF(AND(M471="Aplicada",OR(P471="Pagada",P471="Incluida en expensas")),"Cerrado - multa cobrada",IF(M471="Aplicada","Multa aplicada - impaga",IF(L471&lt;&gt;"","Descargo respondido - a resolver",IF(J471="Sí","Esperando respuesta descargo","Pendiente enviar descargo"))))))</f>
        <v/>
      </c>
      <c r="T471" s="18" t="str">
        <f aca="true">IF(B471="","",TODAY()-B471)</f>
        <v/>
      </c>
    </row>
    <row r="472" customFormat="false" ht="15" hidden="false" customHeight="false" outlineLevel="0" collapsed="false">
      <c r="A472" s="11" t="str">
        <f aca="false">IF(B472="","",ROW()-3)</f>
        <v/>
      </c>
      <c r="B472" s="12"/>
      <c r="C472" s="13"/>
      <c r="D472" s="14"/>
      <c r="E472" s="11"/>
      <c r="F472" s="15"/>
      <c r="G472" s="14"/>
      <c r="H472" s="15"/>
      <c r="I472" s="15"/>
      <c r="J472" s="16"/>
      <c r="K472" s="12"/>
      <c r="L472" s="12"/>
      <c r="M472" s="16"/>
      <c r="N472" s="12"/>
      <c r="O472" s="17"/>
      <c r="P472" s="16"/>
      <c r="Q472" s="12"/>
      <c r="R472" s="15"/>
      <c r="S472" s="16" t="str">
        <f aca="false">IF(B472="","",IF(M472="Desestimada","Cerrado - desestimada",IF(AND(M472="Aplicada",OR(P472="Pagada",P472="Incluida en expensas")),"Cerrado - multa cobrada",IF(M472="Aplicada","Multa aplicada - impaga",IF(L472&lt;&gt;"","Descargo respondido - a resolver",IF(J472="Sí","Esperando respuesta descargo","Pendiente enviar descargo"))))))</f>
        <v/>
      </c>
      <c r="T472" s="18" t="str">
        <f aca="true">IF(B472="","",TODAY()-B472)</f>
        <v/>
      </c>
    </row>
    <row r="473" customFormat="false" ht="15" hidden="false" customHeight="false" outlineLevel="0" collapsed="false">
      <c r="A473" s="11" t="str">
        <f aca="false">IF(B473="","",ROW()-3)</f>
        <v/>
      </c>
      <c r="B473" s="12"/>
      <c r="C473" s="13"/>
      <c r="D473" s="14"/>
      <c r="E473" s="11"/>
      <c r="F473" s="15"/>
      <c r="G473" s="14"/>
      <c r="H473" s="15"/>
      <c r="I473" s="15"/>
      <c r="J473" s="16"/>
      <c r="K473" s="12"/>
      <c r="L473" s="12"/>
      <c r="M473" s="16"/>
      <c r="N473" s="12"/>
      <c r="O473" s="17"/>
      <c r="P473" s="16"/>
      <c r="Q473" s="12"/>
      <c r="R473" s="15"/>
      <c r="S473" s="16" t="str">
        <f aca="false">IF(B473="","",IF(M473="Desestimada","Cerrado - desestimada",IF(AND(M473="Aplicada",OR(P473="Pagada",P473="Incluida en expensas")),"Cerrado - multa cobrada",IF(M473="Aplicada","Multa aplicada - impaga",IF(L473&lt;&gt;"","Descargo respondido - a resolver",IF(J473="Sí","Esperando respuesta descargo","Pendiente enviar descargo"))))))</f>
        <v/>
      </c>
      <c r="T473" s="18" t="str">
        <f aca="true">IF(B473="","",TODAY()-B473)</f>
        <v/>
      </c>
    </row>
    <row r="474" customFormat="false" ht="15" hidden="false" customHeight="false" outlineLevel="0" collapsed="false">
      <c r="A474" s="11" t="str">
        <f aca="false">IF(B474="","",ROW()-3)</f>
        <v/>
      </c>
      <c r="B474" s="12"/>
      <c r="C474" s="13"/>
      <c r="D474" s="14"/>
      <c r="E474" s="11"/>
      <c r="F474" s="15"/>
      <c r="G474" s="14"/>
      <c r="H474" s="15"/>
      <c r="I474" s="15"/>
      <c r="J474" s="16"/>
      <c r="K474" s="12"/>
      <c r="L474" s="12"/>
      <c r="M474" s="16"/>
      <c r="N474" s="12"/>
      <c r="O474" s="17"/>
      <c r="P474" s="16"/>
      <c r="Q474" s="12"/>
      <c r="R474" s="15"/>
      <c r="S474" s="16" t="str">
        <f aca="false">IF(B474="","",IF(M474="Desestimada","Cerrado - desestimada",IF(AND(M474="Aplicada",OR(P474="Pagada",P474="Incluida en expensas")),"Cerrado - multa cobrada",IF(M474="Aplicada","Multa aplicada - impaga",IF(L474&lt;&gt;"","Descargo respondido - a resolver",IF(J474="Sí","Esperando respuesta descargo","Pendiente enviar descargo"))))))</f>
        <v/>
      </c>
      <c r="T474" s="18" t="str">
        <f aca="true">IF(B474="","",TODAY()-B474)</f>
        <v/>
      </c>
    </row>
    <row r="475" customFormat="false" ht="15" hidden="false" customHeight="false" outlineLevel="0" collapsed="false">
      <c r="A475" s="11" t="str">
        <f aca="false">IF(B475="","",ROW()-3)</f>
        <v/>
      </c>
      <c r="B475" s="12"/>
      <c r="C475" s="13"/>
      <c r="D475" s="14"/>
      <c r="E475" s="11"/>
      <c r="F475" s="15"/>
      <c r="G475" s="14"/>
      <c r="H475" s="15"/>
      <c r="I475" s="15"/>
      <c r="J475" s="16"/>
      <c r="K475" s="12"/>
      <c r="L475" s="12"/>
      <c r="M475" s="16"/>
      <c r="N475" s="12"/>
      <c r="O475" s="17"/>
      <c r="P475" s="16"/>
      <c r="Q475" s="12"/>
      <c r="R475" s="15"/>
      <c r="S475" s="16" t="str">
        <f aca="false">IF(B475="","",IF(M475="Desestimada","Cerrado - desestimada",IF(AND(M475="Aplicada",OR(P475="Pagada",P475="Incluida en expensas")),"Cerrado - multa cobrada",IF(M475="Aplicada","Multa aplicada - impaga",IF(L475&lt;&gt;"","Descargo respondido - a resolver",IF(J475="Sí","Esperando respuesta descargo","Pendiente enviar descargo"))))))</f>
        <v/>
      </c>
      <c r="T475" s="18" t="str">
        <f aca="true">IF(B475="","",TODAY()-B475)</f>
        <v/>
      </c>
    </row>
    <row r="476" customFormat="false" ht="15" hidden="false" customHeight="false" outlineLevel="0" collapsed="false">
      <c r="A476" s="11" t="str">
        <f aca="false">IF(B476="","",ROW()-3)</f>
        <v/>
      </c>
      <c r="B476" s="12"/>
      <c r="C476" s="13"/>
      <c r="D476" s="14"/>
      <c r="E476" s="11"/>
      <c r="F476" s="15"/>
      <c r="G476" s="14"/>
      <c r="H476" s="15"/>
      <c r="I476" s="15"/>
      <c r="J476" s="16"/>
      <c r="K476" s="12"/>
      <c r="L476" s="12"/>
      <c r="M476" s="16"/>
      <c r="N476" s="12"/>
      <c r="O476" s="17"/>
      <c r="P476" s="16"/>
      <c r="Q476" s="12"/>
      <c r="R476" s="15"/>
      <c r="S476" s="16" t="str">
        <f aca="false">IF(B476="","",IF(M476="Desestimada","Cerrado - desestimada",IF(AND(M476="Aplicada",OR(P476="Pagada",P476="Incluida en expensas")),"Cerrado - multa cobrada",IF(M476="Aplicada","Multa aplicada - impaga",IF(L476&lt;&gt;"","Descargo respondido - a resolver",IF(J476="Sí","Esperando respuesta descargo","Pendiente enviar descargo"))))))</f>
        <v/>
      </c>
      <c r="T476" s="18" t="str">
        <f aca="true">IF(B476="","",TODAY()-B476)</f>
        <v/>
      </c>
    </row>
    <row r="477" customFormat="false" ht="15" hidden="false" customHeight="false" outlineLevel="0" collapsed="false">
      <c r="A477" s="11" t="str">
        <f aca="false">IF(B477="","",ROW()-3)</f>
        <v/>
      </c>
      <c r="B477" s="12"/>
      <c r="C477" s="13"/>
      <c r="D477" s="14"/>
      <c r="E477" s="11"/>
      <c r="F477" s="15"/>
      <c r="G477" s="14"/>
      <c r="H477" s="15"/>
      <c r="I477" s="15"/>
      <c r="J477" s="16"/>
      <c r="K477" s="12"/>
      <c r="L477" s="12"/>
      <c r="M477" s="16"/>
      <c r="N477" s="12"/>
      <c r="O477" s="17"/>
      <c r="P477" s="16"/>
      <c r="Q477" s="12"/>
      <c r="R477" s="15"/>
      <c r="S477" s="16" t="str">
        <f aca="false">IF(B477="","",IF(M477="Desestimada","Cerrado - desestimada",IF(AND(M477="Aplicada",OR(P477="Pagada",P477="Incluida en expensas")),"Cerrado - multa cobrada",IF(M477="Aplicada","Multa aplicada - impaga",IF(L477&lt;&gt;"","Descargo respondido - a resolver",IF(J477="Sí","Esperando respuesta descargo","Pendiente enviar descargo"))))))</f>
        <v/>
      </c>
      <c r="T477" s="18" t="str">
        <f aca="true">IF(B477="","",TODAY()-B477)</f>
        <v/>
      </c>
    </row>
    <row r="478" customFormat="false" ht="15" hidden="false" customHeight="false" outlineLevel="0" collapsed="false">
      <c r="A478" s="11" t="str">
        <f aca="false">IF(B478="","",ROW()-3)</f>
        <v/>
      </c>
      <c r="B478" s="12"/>
      <c r="C478" s="13"/>
      <c r="D478" s="14"/>
      <c r="E478" s="11"/>
      <c r="F478" s="15"/>
      <c r="G478" s="14"/>
      <c r="H478" s="15"/>
      <c r="I478" s="15"/>
      <c r="J478" s="16"/>
      <c r="K478" s="12"/>
      <c r="L478" s="12"/>
      <c r="M478" s="16"/>
      <c r="N478" s="12"/>
      <c r="O478" s="17"/>
      <c r="P478" s="16"/>
      <c r="Q478" s="12"/>
      <c r="R478" s="15"/>
      <c r="S478" s="16" t="str">
        <f aca="false">IF(B478="","",IF(M478="Desestimada","Cerrado - desestimada",IF(AND(M478="Aplicada",OR(P478="Pagada",P478="Incluida en expensas")),"Cerrado - multa cobrada",IF(M478="Aplicada","Multa aplicada - impaga",IF(L478&lt;&gt;"","Descargo respondido - a resolver",IF(J478="Sí","Esperando respuesta descargo","Pendiente enviar descargo"))))))</f>
        <v/>
      </c>
      <c r="T478" s="18" t="str">
        <f aca="true">IF(B478="","",TODAY()-B478)</f>
        <v/>
      </c>
    </row>
    <row r="479" customFormat="false" ht="15" hidden="false" customHeight="false" outlineLevel="0" collapsed="false">
      <c r="A479" s="11" t="str">
        <f aca="false">IF(B479="","",ROW()-3)</f>
        <v/>
      </c>
      <c r="B479" s="12"/>
      <c r="C479" s="13"/>
      <c r="D479" s="14"/>
      <c r="E479" s="11"/>
      <c r="F479" s="15"/>
      <c r="G479" s="14"/>
      <c r="H479" s="15"/>
      <c r="I479" s="15"/>
      <c r="J479" s="16"/>
      <c r="K479" s="12"/>
      <c r="L479" s="12"/>
      <c r="M479" s="16"/>
      <c r="N479" s="12"/>
      <c r="O479" s="17"/>
      <c r="P479" s="16"/>
      <c r="Q479" s="12"/>
      <c r="R479" s="15"/>
      <c r="S479" s="16" t="str">
        <f aca="false">IF(B479="","",IF(M479="Desestimada","Cerrado - desestimada",IF(AND(M479="Aplicada",OR(P479="Pagada",P479="Incluida en expensas")),"Cerrado - multa cobrada",IF(M479="Aplicada","Multa aplicada - impaga",IF(L479&lt;&gt;"","Descargo respondido - a resolver",IF(J479="Sí","Esperando respuesta descargo","Pendiente enviar descargo"))))))</f>
        <v/>
      </c>
      <c r="T479" s="18" t="str">
        <f aca="true">IF(B479="","",TODAY()-B479)</f>
        <v/>
      </c>
    </row>
    <row r="480" customFormat="false" ht="15" hidden="false" customHeight="false" outlineLevel="0" collapsed="false">
      <c r="A480" s="11" t="str">
        <f aca="false">IF(B480="","",ROW()-3)</f>
        <v/>
      </c>
      <c r="B480" s="12"/>
      <c r="C480" s="13"/>
      <c r="D480" s="14"/>
      <c r="E480" s="11"/>
      <c r="F480" s="15"/>
      <c r="G480" s="14"/>
      <c r="H480" s="15"/>
      <c r="I480" s="15"/>
      <c r="J480" s="16"/>
      <c r="K480" s="12"/>
      <c r="L480" s="12"/>
      <c r="M480" s="16"/>
      <c r="N480" s="12"/>
      <c r="O480" s="17"/>
      <c r="P480" s="16"/>
      <c r="Q480" s="12"/>
      <c r="R480" s="15"/>
      <c r="S480" s="16" t="str">
        <f aca="false">IF(B480="","",IF(M480="Desestimada","Cerrado - desestimada",IF(AND(M480="Aplicada",OR(P480="Pagada",P480="Incluida en expensas")),"Cerrado - multa cobrada",IF(M480="Aplicada","Multa aplicada - impaga",IF(L480&lt;&gt;"","Descargo respondido - a resolver",IF(J480="Sí","Esperando respuesta descargo","Pendiente enviar descargo"))))))</f>
        <v/>
      </c>
      <c r="T480" s="18" t="str">
        <f aca="true">IF(B480="","",TODAY()-B480)</f>
        <v/>
      </c>
    </row>
    <row r="481" customFormat="false" ht="15" hidden="false" customHeight="false" outlineLevel="0" collapsed="false">
      <c r="A481" s="11" t="str">
        <f aca="false">IF(B481="","",ROW()-3)</f>
        <v/>
      </c>
      <c r="B481" s="12"/>
      <c r="C481" s="13"/>
      <c r="D481" s="14"/>
      <c r="E481" s="11"/>
      <c r="F481" s="15"/>
      <c r="G481" s="14"/>
      <c r="H481" s="15"/>
      <c r="I481" s="15"/>
      <c r="J481" s="16"/>
      <c r="K481" s="12"/>
      <c r="L481" s="12"/>
      <c r="M481" s="16"/>
      <c r="N481" s="12"/>
      <c r="O481" s="17"/>
      <c r="P481" s="16"/>
      <c r="Q481" s="12"/>
      <c r="R481" s="15"/>
      <c r="S481" s="16" t="str">
        <f aca="false">IF(B481="","",IF(M481="Desestimada","Cerrado - desestimada",IF(AND(M481="Aplicada",OR(P481="Pagada",P481="Incluida en expensas")),"Cerrado - multa cobrada",IF(M481="Aplicada","Multa aplicada - impaga",IF(L481&lt;&gt;"","Descargo respondido - a resolver",IF(J481="Sí","Esperando respuesta descargo","Pendiente enviar descargo"))))))</f>
        <v/>
      </c>
      <c r="T481" s="18" t="str">
        <f aca="true">IF(B481="","",TODAY()-B481)</f>
        <v/>
      </c>
    </row>
    <row r="482" customFormat="false" ht="15" hidden="false" customHeight="false" outlineLevel="0" collapsed="false">
      <c r="A482" s="11" t="str">
        <f aca="false">IF(B482="","",ROW()-3)</f>
        <v/>
      </c>
      <c r="B482" s="12"/>
      <c r="C482" s="13"/>
      <c r="D482" s="14"/>
      <c r="E482" s="11"/>
      <c r="F482" s="15"/>
      <c r="G482" s="14"/>
      <c r="H482" s="15"/>
      <c r="I482" s="15"/>
      <c r="J482" s="16"/>
      <c r="K482" s="12"/>
      <c r="L482" s="12"/>
      <c r="M482" s="16"/>
      <c r="N482" s="12"/>
      <c r="O482" s="17"/>
      <c r="P482" s="16"/>
      <c r="Q482" s="12"/>
      <c r="R482" s="15"/>
      <c r="S482" s="16" t="str">
        <f aca="false">IF(B482="","",IF(M482="Desestimada","Cerrado - desestimada",IF(AND(M482="Aplicada",OR(P482="Pagada",P482="Incluida en expensas")),"Cerrado - multa cobrada",IF(M482="Aplicada","Multa aplicada - impaga",IF(L482&lt;&gt;"","Descargo respondido - a resolver",IF(J482="Sí","Esperando respuesta descargo","Pendiente enviar descargo"))))))</f>
        <v/>
      </c>
      <c r="T482" s="18" t="str">
        <f aca="true">IF(B482="","",TODAY()-B482)</f>
        <v/>
      </c>
    </row>
    <row r="483" customFormat="false" ht="15" hidden="false" customHeight="false" outlineLevel="0" collapsed="false">
      <c r="A483" s="11" t="str">
        <f aca="false">IF(B483="","",ROW()-3)</f>
        <v/>
      </c>
      <c r="B483" s="12"/>
      <c r="C483" s="13"/>
      <c r="D483" s="14"/>
      <c r="E483" s="11"/>
      <c r="F483" s="15"/>
      <c r="G483" s="14"/>
      <c r="H483" s="15"/>
      <c r="I483" s="15"/>
      <c r="J483" s="16"/>
      <c r="K483" s="12"/>
      <c r="L483" s="12"/>
      <c r="M483" s="16"/>
      <c r="N483" s="12"/>
      <c r="O483" s="17"/>
      <c r="P483" s="16"/>
      <c r="Q483" s="12"/>
      <c r="R483" s="15"/>
      <c r="S483" s="16" t="str">
        <f aca="false">IF(B483="","",IF(M483="Desestimada","Cerrado - desestimada",IF(AND(M483="Aplicada",OR(P483="Pagada",P483="Incluida en expensas")),"Cerrado - multa cobrada",IF(M483="Aplicada","Multa aplicada - impaga",IF(L483&lt;&gt;"","Descargo respondido - a resolver",IF(J483="Sí","Esperando respuesta descargo","Pendiente enviar descargo"))))))</f>
        <v/>
      </c>
      <c r="T483" s="18" t="str">
        <f aca="true">IF(B483="","",TODAY()-B483)</f>
        <v/>
      </c>
    </row>
    <row r="484" customFormat="false" ht="15" hidden="false" customHeight="false" outlineLevel="0" collapsed="false">
      <c r="A484" s="11" t="str">
        <f aca="false">IF(B484="","",ROW()-3)</f>
        <v/>
      </c>
      <c r="B484" s="12"/>
      <c r="C484" s="13"/>
      <c r="D484" s="14"/>
      <c r="E484" s="11"/>
      <c r="F484" s="15"/>
      <c r="G484" s="14"/>
      <c r="H484" s="15"/>
      <c r="I484" s="15"/>
      <c r="J484" s="16"/>
      <c r="K484" s="12"/>
      <c r="L484" s="12"/>
      <c r="M484" s="16"/>
      <c r="N484" s="12"/>
      <c r="O484" s="17"/>
      <c r="P484" s="16"/>
      <c r="Q484" s="12"/>
      <c r="R484" s="15"/>
      <c r="S484" s="16" t="str">
        <f aca="false">IF(B484="","",IF(M484="Desestimada","Cerrado - desestimada",IF(AND(M484="Aplicada",OR(P484="Pagada",P484="Incluida en expensas")),"Cerrado - multa cobrada",IF(M484="Aplicada","Multa aplicada - impaga",IF(L484&lt;&gt;"","Descargo respondido - a resolver",IF(J484="Sí","Esperando respuesta descargo","Pendiente enviar descargo"))))))</f>
        <v/>
      </c>
      <c r="T484" s="18" t="str">
        <f aca="true">IF(B484="","",TODAY()-B484)</f>
        <v/>
      </c>
    </row>
    <row r="485" customFormat="false" ht="15" hidden="false" customHeight="false" outlineLevel="0" collapsed="false">
      <c r="A485" s="11" t="str">
        <f aca="false">IF(B485="","",ROW()-3)</f>
        <v/>
      </c>
      <c r="B485" s="12"/>
      <c r="C485" s="13"/>
      <c r="D485" s="14"/>
      <c r="E485" s="11"/>
      <c r="F485" s="15"/>
      <c r="G485" s="14"/>
      <c r="H485" s="15"/>
      <c r="I485" s="15"/>
      <c r="J485" s="16"/>
      <c r="K485" s="12"/>
      <c r="L485" s="12"/>
      <c r="M485" s="16"/>
      <c r="N485" s="12"/>
      <c r="O485" s="17"/>
      <c r="P485" s="16"/>
      <c r="Q485" s="12"/>
      <c r="R485" s="15"/>
      <c r="S485" s="16" t="str">
        <f aca="false">IF(B485="","",IF(M485="Desestimada","Cerrado - desestimada",IF(AND(M485="Aplicada",OR(P485="Pagada",P485="Incluida en expensas")),"Cerrado - multa cobrada",IF(M485="Aplicada","Multa aplicada - impaga",IF(L485&lt;&gt;"","Descargo respondido - a resolver",IF(J485="Sí","Esperando respuesta descargo","Pendiente enviar descargo"))))))</f>
        <v/>
      </c>
      <c r="T485" s="18" t="str">
        <f aca="true">IF(B485="","",TODAY()-B485)</f>
        <v/>
      </c>
    </row>
    <row r="486" customFormat="false" ht="15" hidden="false" customHeight="false" outlineLevel="0" collapsed="false">
      <c r="A486" s="11" t="str">
        <f aca="false">IF(B486="","",ROW()-3)</f>
        <v/>
      </c>
      <c r="B486" s="12"/>
      <c r="C486" s="13"/>
      <c r="D486" s="14"/>
      <c r="E486" s="11"/>
      <c r="F486" s="15"/>
      <c r="G486" s="14"/>
      <c r="H486" s="15"/>
      <c r="I486" s="15"/>
      <c r="J486" s="16"/>
      <c r="K486" s="12"/>
      <c r="L486" s="12"/>
      <c r="M486" s="16"/>
      <c r="N486" s="12"/>
      <c r="O486" s="17"/>
      <c r="P486" s="16"/>
      <c r="Q486" s="12"/>
      <c r="R486" s="15"/>
      <c r="S486" s="16" t="str">
        <f aca="false">IF(B486="","",IF(M486="Desestimada","Cerrado - desestimada",IF(AND(M486="Aplicada",OR(P486="Pagada",P486="Incluida en expensas")),"Cerrado - multa cobrada",IF(M486="Aplicada","Multa aplicada - impaga",IF(L486&lt;&gt;"","Descargo respondido - a resolver",IF(J486="Sí","Esperando respuesta descargo","Pendiente enviar descargo"))))))</f>
        <v/>
      </c>
      <c r="T486" s="18" t="str">
        <f aca="true">IF(B486="","",TODAY()-B486)</f>
        <v/>
      </c>
    </row>
    <row r="487" customFormat="false" ht="15" hidden="false" customHeight="false" outlineLevel="0" collapsed="false">
      <c r="A487" s="11" t="str">
        <f aca="false">IF(B487="","",ROW()-3)</f>
        <v/>
      </c>
      <c r="B487" s="12"/>
      <c r="C487" s="13"/>
      <c r="D487" s="14"/>
      <c r="E487" s="11"/>
      <c r="F487" s="15"/>
      <c r="G487" s="14"/>
      <c r="H487" s="15"/>
      <c r="I487" s="15"/>
      <c r="J487" s="16"/>
      <c r="K487" s="12"/>
      <c r="L487" s="12"/>
      <c r="M487" s="16"/>
      <c r="N487" s="12"/>
      <c r="O487" s="17"/>
      <c r="P487" s="16"/>
      <c r="Q487" s="12"/>
      <c r="R487" s="15"/>
      <c r="S487" s="16" t="str">
        <f aca="false">IF(B487="","",IF(M487="Desestimada","Cerrado - desestimada",IF(AND(M487="Aplicada",OR(P487="Pagada",P487="Incluida en expensas")),"Cerrado - multa cobrada",IF(M487="Aplicada","Multa aplicada - impaga",IF(L487&lt;&gt;"","Descargo respondido - a resolver",IF(J487="Sí","Esperando respuesta descargo","Pendiente enviar descargo"))))))</f>
        <v/>
      </c>
      <c r="T487" s="18" t="str">
        <f aca="true">IF(B487="","",TODAY()-B487)</f>
        <v/>
      </c>
    </row>
    <row r="488" customFormat="false" ht="15" hidden="false" customHeight="false" outlineLevel="0" collapsed="false">
      <c r="A488" s="11" t="str">
        <f aca="false">IF(B488="","",ROW()-3)</f>
        <v/>
      </c>
      <c r="B488" s="12"/>
      <c r="C488" s="13"/>
      <c r="D488" s="14"/>
      <c r="E488" s="11"/>
      <c r="F488" s="15"/>
      <c r="G488" s="14"/>
      <c r="H488" s="15"/>
      <c r="I488" s="15"/>
      <c r="J488" s="16"/>
      <c r="K488" s="12"/>
      <c r="L488" s="12"/>
      <c r="M488" s="16"/>
      <c r="N488" s="12"/>
      <c r="O488" s="17"/>
      <c r="P488" s="16"/>
      <c r="Q488" s="12"/>
      <c r="R488" s="15"/>
      <c r="S488" s="16" t="str">
        <f aca="false">IF(B488="","",IF(M488="Desestimada","Cerrado - desestimada",IF(AND(M488="Aplicada",OR(P488="Pagada",P488="Incluida en expensas")),"Cerrado - multa cobrada",IF(M488="Aplicada","Multa aplicada - impaga",IF(L488&lt;&gt;"","Descargo respondido - a resolver",IF(J488="Sí","Esperando respuesta descargo","Pendiente enviar descargo"))))))</f>
        <v/>
      </c>
      <c r="T488" s="18" t="str">
        <f aca="true">IF(B488="","",TODAY()-B488)</f>
        <v/>
      </c>
    </row>
    <row r="489" customFormat="false" ht="15" hidden="false" customHeight="false" outlineLevel="0" collapsed="false">
      <c r="A489" s="11" t="str">
        <f aca="false">IF(B489="","",ROW()-3)</f>
        <v/>
      </c>
      <c r="B489" s="12"/>
      <c r="C489" s="13"/>
      <c r="D489" s="14"/>
      <c r="E489" s="11"/>
      <c r="F489" s="15"/>
      <c r="G489" s="14"/>
      <c r="H489" s="15"/>
      <c r="I489" s="15"/>
      <c r="J489" s="16"/>
      <c r="K489" s="12"/>
      <c r="L489" s="12"/>
      <c r="M489" s="16"/>
      <c r="N489" s="12"/>
      <c r="O489" s="17"/>
      <c r="P489" s="16"/>
      <c r="Q489" s="12"/>
      <c r="R489" s="15"/>
      <c r="S489" s="16" t="str">
        <f aca="false">IF(B489="","",IF(M489="Desestimada","Cerrado - desestimada",IF(AND(M489="Aplicada",OR(P489="Pagada",P489="Incluida en expensas")),"Cerrado - multa cobrada",IF(M489="Aplicada","Multa aplicada - impaga",IF(L489&lt;&gt;"","Descargo respondido - a resolver",IF(J489="Sí","Esperando respuesta descargo","Pendiente enviar descargo"))))))</f>
        <v/>
      </c>
      <c r="T489" s="18" t="str">
        <f aca="true">IF(B489="","",TODAY()-B489)</f>
        <v/>
      </c>
    </row>
    <row r="490" customFormat="false" ht="15" hidden="false" customHeight="false" outlineLevel="0" collapsed="false">
      <c r="A490" s="11" t="str">
        <f aca="false">IF(B490="","",ROW()-3)</f>
        <v/>
      </c>
      <c r="B490" s="12"/>
      <c r="C490" s="13"/>
      <c r="D490" s="14"/>
      <c r="E490" s="11"/>
      <c r="F490" s="15"/>
      <c r="G490" s="14"/>
      <c r="H490" s="15"/>
      <c r="I490" s="15"/>
      <c r="J490" s="16"/>
      <c r="K490" s="12"/>
      <c r="L490" s="12"/>
      <c r="M490" s="16"/>
      <c r="N490" s="12"/>
      <c r="O490" s="17"/>
      <c r="P490" s="16"/>
      <c r="Q490" s="12"/>
      <c r="R490" s="15"/>
      <c r="S490" s="16" t="str">
        <f aca="false">IF(B490="","",IF(M490="Desestimada","Cerrado - desestimada",IF(AND(M490="Aplicada",OR(P490="Pagada",P490="Incluida en expensas")),"Cerrado - multa cobrada",IF(M490="Aplicada","Multa aplicada - impaga",IF(L490&lt;&gt;"","Descargo respondido - a resolver",IF(J490="Sí","Esperando respuesta descargo","Pendiente enviar descargo"))))))</f>
        <v/>
      </c>
      <c r="T490" s="18" t="str">
        <f aca="true">IF(B490="","",TODAY()-B490)</f>
        <v/>
      </c>
    </row>
    <row r="491" customFormat="false" ht="15" hidden="false" customHeight="false" outlineLevel="0" collapsed="false">
      <c r="A491" s="11" t="str">
        <f aca="false">IF(B491="","",ROW()-3)</f>
        <v/>
      </c>
      <c r="B491" s="12"/>
      <c r="C491" s="13"/>
      <c r="D491" s="14"/>
      <c r="E491" s="11"/>
      <c r="F491" s="15"/>
      <c r="G491" s="14"/>
      <c r="H491" s="15"/>
      <c r="I491" s="15"/>
      <c r="J491" s="16"/>
      <c r="K491" s="12"/>
      <c r="L491" s="12"/>
      <c r="M491" s="16"/>
      <c r="N491" s="12"/>
      <c r="O491" s="17"/>
      <c r="P491" s="16"/>
      <c r="Q491" s="12"/>
      <c r="R491" s="15"/>
      <c r="S491" s="16" t="str">
        <f aca="false">IF(B491="","",IF(M491="Desestimada","Cerrado - desestimada",IF(AND(M491="Aplicada",OR(P491="Pagada",P491="Incluida en expensas")),"Cerrado - multa cobrada",IF(M491="Aplicada","Multa aplicada - impaga",IF(L491&lt;&gt;"","Descargo respondido - a resolver",IF(J491="Sí","Esperando respuesta descargo","Pendiente enviar descargo"))))))</f>
        <v/>
      </c>
      <c r="T491" s="18" t="str">
        <f aca="true">IF(B491="","",TODAY()-B491)</f>
        <v/>
      </c>
    </row>
    <row r="492" customFormat="false" ht="15" hidden="false" customHeight="false" outlineLevel="0" collapsed="false">
      <c r="A492" s="11" t="str">
        <f aca="false">IF(B492="","",ROW()-3)</f>
        <v/>
      </c>
      <c r="B492" s="12"/>
      <c r="C492" s="13"/>
      <c r="D492" s="14"/>
      <c r="E492" s="11"/>
      <c r="F492" s="15"/>
      <c r="G492" s="14"/>
      <c r="H492" s="15"/>
      <c r="I492" s="15"/>
      <c r="J492" s="16"/>
      <c r="K492" s="12"/>
      <c r="L492" s="12"/>
      <c r="M492" s="16"/>
      <c r="N492" s="12"/>
      <c r="O492" s="17"/>
      <c r="P492" s="16"/>
      <c r="Q492" s="12"/>
      <c r="R492" s="15"/>
      <c r="S492" s="16" t="str">
        <f aca="false">IF(B492="","",IF(M492="Desestimada","Cerrado - desestimada",IF(AND(M492="Aplicada",OR(P492="Pagada",P492="Incluida en expensas")),"Cerrado - multa cobrada",IF(M492="Aplicada","Multa aplicada - impaga",IF(L492&lt;&gt;"","Descargo respondido - a resolver",IF(J492="Sí","Esperando respuesta descargo","Pendiente enviar descargo"))))))</f>
        <v/>
      </c>
      <c r="T492" s="18" t="str">
        <f aca="true">IF(B492="","",TODAY()-B492)</f>
        <v/>
      </c>
    </row>
    <row r="493" customFormat="false" ht="15" hidden="false" customHeight="false" outlineLevel="0" collapsed="false">
      <c r="A493" s="11" t="str">
        <f aca="false">IF(B493="","",ROW()-3)</f>
        <v/>
      </c>
      <c r="B493" s="12"/>
      <c r="C493" s="13"/>
      <c r="D493" s="14"/>
      <c r="E493" s="11"/>
      <c r="F493" s="15"/>
      <c r="G493" s="14"/>
      <c r="H493" s="15"/>
      <c r="I493" s="15"/>
      <c r="J493" s="16"/>
      <c r="K493" s="12"/>
      <c r="L493" s="12"/>
      <c r="M493" s="16"/>
      <c r="N493" s="12"/>
      <c r="O493" s="17"/>
      <c r="P493" s="16"/>
      <c r="Q493" s="12"/>
      <c r="R493" s="15"/>
      <c r="S493" s="16" t="str">
        <f aca="false">IF(B493="","",IF(M493="Desestimada","Cerrado - desestimada",IF(AND(M493="Aplicada",OR(P493="Pagada",P493="Incluida en expensas")),"Cerrado - multa cobrada",IF(M493="Aplicada","Multa aplicada - impaga",IF(L493&lt;&gt;"","Descargo respondido - a resolver",IF(J493="Sí","Esperando respuesta descargo","Pendiente enviar descargo"))))))</f>
        <v/>
      </c>
      <c r="T493" s="18" t="str">
        <f aca="true">IF(B493="","",TODAY()-B493)</f>
        <v/>
      </c>
    </row>
    <row r="494" customFormat="false" ht="15" hidden="false" customHeight="false" outlineLevel="0" collapsed="false">
      <c r="A494" s="11" t="str">
        <f aca="false">IF(B494="","",ROW()-3)</f>
        <v/>
      </c>
      <c r="B494" s="12"/>
      <c r="C494" s="13"/>
      <c r="D494" s="14"/>
      <c r="E494" s="11"/>
      <c r="F494" s="15"/>
      <c r="G494" s="14"/>
      <c r="H494" s="15"/>
      <c r="I494" s="15"/>
      <c r="J494" s="16"/>
      <c r="K494" s="12"/>
      <c r="L494" s="12"/>
      <c r="M494" s="16"/>
      <c r="N494" s="12"/>
      <c r="O494" s="17"/>
      <c r="P494" s="16"/>
      <c r="Q494" s="12"/>
      <c r="R494" s="15"/>
      <c r="S494" s="16" t="str">
        <f aca="false">IF(B494="","",IF(M494="Desestimada","Cerrado - desestimada",IF(AND(M494="Aplicada",OR(P494="Pagada",P494="Incluida en expensas")),"Cerrado - multa cobrada",IF(M494="Aplicada","Multa aplicada - impaga",IF(L494&lt;&gt;"","Descargo respondido - a resolver",IF(J494="Sí","Esperando respuesta descargo","Pendiente enviar descargo"))))))</f>
        <v/>
      </c>
      <c r="T494" s="18" t="str">
        <f aca="true">IF(B494="","",TODAY()-B494)</f>
        <v/>
      </c>
    </row>
    <row r="495" customFormat="false" ht="15" hidden="false" customHeight="false" outlineLevel="0" collapsed="false">
      <c r="A495" s="11" t="str">
        <f aca="false">IF(B495="","",ROW()-3)</f>
        <v/>
      </c>
      <c r="B495" s="12"/>
      <c r="C495" s="13"/>
      <c r="D495" s="14"/>
      <c r="E495" s="11"/>
      <c r="F495" s="15"/>
      <c r="G495" s="14"/>
      <c r="H495" s="15"/>
      <c r="I495" s="15"/>
      <c r="J495" s="16"/>
      <c r="K495" s="12"/>
      <c r="L495" s="12"/>
      <c r="M495" s="16"/>
      <c r="N495" s="12"/>
      <c r="O495" s="17"/>
      <c r="P495" s="16"/>
      <c r="Q495" s="12"/>
      <c r="R495" s="15"/>
      <c r="S495" s="16" t="str">
        <f aca="false">IF(B495="","",IF(M495="Desestimada","Cerrado - desestimada",IF(AND(M495="Aplicada",OR(P495="Pagada",P495="Incluida en expensas")),"Cerrado - multa cobrada",IF(M495="Aplicada","Multa aplicada - impaga",IF(L495&lt;&gt;"","Descargo respondido - a resolver",IF(J495="Sí","Esperando respuesta descargo","Pendiente enviar descargo"))))))</f>
        <v/>
      </c>
      <c r="T495" s="18" t="str">
        <f aca="true">IF(B495="","",TODAY()-B495)</f>
        <v/>
      </c>
    </row>
    <row r="496" customFormat="false" ht="15" hidden="false" customHeight="false" outlineLevel="0" collapsed="false">
      <c r="A496" s="11" t="str">
        <f aca="false">IF(B496="","",ROW()-3)</f>
        <v/>
      </c>
      <c r="B496" s="12"/>
      <c r="C496" s="13"/>
      <c r="D496" s="14"/>
      <c r="E496" s="11"/>
      <c r="F496" s="15"/>
      <c r="G496" s="14"/>
      <c r="H496" s="15"/>
      <c r="I496" s="15"/>
      <c r="J496" s="16"/>
      <c r="K496" s="12"/>
      <c r="L496" s="12"/>
      <c r="M496" s="16"/>
      <c r="N496" s="12"/>
      <c r="O496" s="17"/>
      <c r="P496" s="16"/>
      <c r="Q496" s="12"/>
      <c r="R496" s="15"/>
      <c r="S496" s="16" t="str">
        <f aca="false">IF(B496="","",IF(M496="Desestimada","Cerrado - desestimada",IF(AND(M496="Aplicada",OR(P496="Pagada",P496="Incluida en expensas")),"Cerrado - multa cobrada",IF(M496="Aplicada","Multa aplicada - impaga",IF(L496&lt;&gt;"","Descargo respondido - a resolver",IF(J496="Sí","Esperando respuesta descargo","Pendiente enviar descargo"))))))</f>
        <v/>
      </c>
      <c r="T496" s="18" t="str">
        <f aca="true">IF(B496="","",TODAY()-B496)</f>
        <v/>
      </c>
    </row>
    <row r="497" customFormat="false" ht="15" hidden="false" customHeight="false" outlineLevel="0" collapsed="false">
      <c r="A497" s="11" t="str">
        <f aca="false">IF(B497="","",ROW()-3)</f>
        <v/>
      </c>
      <c r="B497" s="12"/>
      <c r="C497" s="13"/>
      <c r="D497" s="14"/>
      <c r="E497" s="11"/>
      <c r="F497" s="15"/>
      <c r="G497" s="14"/>
      <c r="H497" s="15"/>
      <c r="I497" s="15"/>
      <c r="J497" s="16"/>
      <c r="K497" s="12"/>
      <c r="L497" s="12"/>
      <c r="M497" s="16"/>
      <c r="N497" s="12"/>
      <c r="O497" s="17"/>
      <c r="P497" s="16"/>
      <c r="Q497" s="12"/>
      <c r="R497" s="15"/>
      <c r="S497" s="16" t="str">
        <f aca="false">IF(B497="","",IF(M497="Desestimada","Cerrado - desestimada",IF(AND(M497="Aplicada",OR(P497="Pagada",P497="Incluida en expensas")),"Cerrado - multa cobrada",IF(M497="Aplicada","Multa aplicada - impaga",IF(L497&lt;&gt;"","Descargo respondido - a resolver",IF(J497="Sí","Esperando respuesta descargo","Pendiente enviar descargo"))))))</f>
        <v/>
      </c>
      <c r="T497" s="18" t="str">
        <f aca="true">IF(B497="","",TODAY()-B497)</f>
        <v/>
      </c>
    </row>
    <row r="498" customFormat="false" ht="15" hidden="false" customHeight="false" outlineLevel="0" collapsed="false">
      <c r="A498" s="11" t="str">
        <f aca="false">IF(B498="","",ROW()-3)</f>
        <v/>
      </c>
      <c r="B498" s="12"/>
      <c r="C498" s="13"/>
      <c r="D498" s="14"/>
      <c r="E498" s="11"/>
      <c r="F498" s="15"/>
      <c r="G498" s="14"/>
      <c r="H498" s="15"/>
      <c r="I498" s="15"/>
      <c r="J498" s="16"/>
      <c r="K498" s="12"/>
      <c r="L498" s="12"/>
      <c r="M498" s="16"/>
      <c r="N498" s="12"/>
      <c r="O498" s="17"/>
      <c r="P498" s="16"/>
      <c r="Q498" s="12"/>
      <c r="R498" s="15"/>
      <c r="S498" s="16" t="str">
        <f aca="false">IF(B498="","",IF(M498="Desestimada","Cerrado - desestimada",IF(AND(M498="Aplicada",OR(P498="Pagada",P498="Incluida en expensas")),"Cerrado - multa cobrada",IF(M498="Aplicada","Multa aplicada - impaga",IF(L498&lt;&gt;"","Descargo respondido - a resolver",IF(J498="Sí","Esperando respuesta descargo","Pendiente enviar descargo"))))))</f>
        <v/>
      </c>
      <c r="T498" s="18" t="str">
        <f aca="true">IF(B498="","",TODAY()-B498)</f>
        <v/>
      </c>
    </row>
    <row r="499" customFormat="false" ht="15" hidden="false" customHeight="false" outlineLevel="0" collapsed="false">
      <c r="A499" s="11" t="str">
        <f aca="false">IF(B499="","",ROW()-3)</f>
        <v/>
      </c>
      <c r="B499" s="12"/>
      <c r="C499" s="13"/>
      <c r="D499" s="14"/>
      <c r="E499" s="11"/>
      <c r="F499" s="15"/>
      <c r="G499" s="14"/>
      <c r="H499" s="15"/>
      <c r="I499" s="15"/>
      <c r="J499" s="16"/>
      <c r="K499" s="12"/>
      <c r="L499" s="12"/>
      <c r="M499" s="16"/>
      <c r="N499" s="12"/>
      <c r="O499" s="17"/>
      <c r="P499" s="16"/>
      <c r="Q499" s="12"/>
      <c r="R499" s="15"/>
      <c r="S499" s="16" t="str">
        <f aca="false">IF(B499="","",IF(M499="Desestimada","Cerrado - desestimada",IF(AND(M499="Aplicada",OR(P499="Pagada",P499="Incluida en expensas")),"Cerrado - multa cobrada",IF(M499="Aplicada","Multa aplicada - impaga",IF(L499&lt;&gt;"","Descargo respondido - a resolver",IF(J499="Sí","Esperando respuesta descargo","Pendiente enviar descargo"))))))</f>
        <v/>
      </c>
      <c r="T499" s="18" t="str">
        <f aca="true">IF(B499="","",TODAY()-B499)</f>
        <v/>
      </c>
    </row>
    <row r="500" customFormat="false" ht="15" hidden="false" customHeight="false" outlineLevel="0" collapsed="false">
      <c r="A500" s="11" t="str">
        <f aca="false">IF(B500="","",ROW()-3)</f>
        <v/>
      </c>
      <c r="B500" s="12"/>
      <c r="C500" s="13"/>
      <c r="D500" s="14"/>
      <c r="E500" s="11"/>
      <c r="F500" s="15"/>
      <c r="G500" s="14"/>
      <c r="H500" s="15"/>
      <c r="I500" s="15"/>
      <c r="J500" s="16"/>
      <c r="K500" s="12"/>
      <c r="L500" s="12"/>
      <c r="M500" s="16"/>
      <c r="N500" s="12"/>
      <c r="O500" s="17"/>
      <c r="P500" s="16"/>
      <c r="Q500" s="12"/>
      <c r="R500" s="15"/>
      <c r="S500" s="16" t="str">
        <f aca="false">IF(B500="","",IF(M500="Desestimada","Cerrado - desestimada",IF(AND(M500="Aplicada",OR(P500="Pagada",P500="Incluida en expensas")),"Cerrado - multa cobrada",IF(M500="Aplicada","Multa aplicada - impaga",IF(L500&lt;&gt;"","Descargo respondido - a resolver",IF(J500="Sí","Esperando respuesta descargo","Pendiente enviar descargo"))))))</f>
        <v/>
      </c>
      <c r="T500" s="18" t="str">
        <f aca="true">IF(B500="","",TODAY()-B500)</f>
        <v/>
      </c>
    </row>
    <row r="501" customFormat="false" ht="15" hidden="false" customHeight="false" outlineLevel="0" collapsed="false">
      <c r="A501" s="11" t="str">
        <f aca="false">IF(B501="","",ROW()-3)</f>
        <v/>
      </c>
      <c r="B501" s="12"/>
      <c r="C501" s="13"/>
      <c r="D501" s="14"/>
      <c r="E501" s="11"/>
      <c r="F501" s="15"/>
      <c r="G501" s="14"/>
      <c r="H501" s="15"/>
      <c r="I501" s="15"/>
      <c r="J501" s="16"/>
      <c r="K501" s="12"/>
      <c r="L501" s="12"/>
      <c r="M501" s="16"/>
      <c r="N501" s="12"/>
      <c r="O501" s="17"/>
      <c r="P501" s="16"/>
      <c r="Q501" s="12"/>
      <c r="R501" s="15"/>
      <c r="S501" s="16" t="str">
        <f aca="false">IF(B501="","",IF(M501="Desestimada","Cerrado - desestimada",IF(AND(M501="Aplicada",OR(P501="Pagada",P501="Incluida en expensas")),"Cerrado - multa cobrada",IF(M501="Aplicada","Multa aplicada - impaga",IF(L501&lt;&gt;"","Descargo respondido - a resolver",IF(J501="Sí","Esperando respuesta descargo","Pendiente enviar descargo"))))))</f>
        <v/>
      </c>
      <c r="T501" s="18" t="str">
        <f aca="true">IF(B501="","",TODAY()-B501)</f>
        <v/>
      </c>
    </row>
    <row r="502" customFormat="false" ht="15" hidden="false" customHeight="false" outlineLevel="0" collapsed="false">
      <c r="A502" s="11" t="str">
        <f aca="false">IF(B502="","",ROW()-3)</f>
        <v/>
      </c>
      <c r="B502" s="12"/>
      <c r="C502" s="13"/>
      <c r="D502" s="14"/>
      <c r="E502" s="11"/>
      <c r="F502" s="15"/>
      <c r="G502" s="14"/>
      <c r="H502" s="15"/>
      <c r="I502" s="15"/>
      <c r="J502" s="16"/>
      <c r="K502" s="12"/>
      <c r="L502" s="12"/>
      <c r="M502" s="16"/>
      <c r="N502" s="12"/>
      <c r="O502" s="17"/>
      <c r="P502" s="16"/>
      <c r="Q502" s="12"/>
      <c r="R502" s="15"/>
      <c r="S502" s="16" t="str">
        <f aca="false">IF(B502="","",IF(M502="Desestimada","Cerrado - desestimada",IF(AND(M502="Aplicada",OR(P502="Pagada",P502="Incluida en expensas")),"Cerrado - multa cobrada",IF(M502="Aplicada","Multa aplicada - impaga",IF(L502&lt;&gt;"","Descargo respondido - a resolver",IF(J502="Sí","Esperando respuesta descargo","Pendiente enviar descargo"))))))</f>
        <v/>
      </c>
      <c r="T502" s="18" t="str">
        <f aca="true">IF(B502="","",TODAY()-B502)</f>
        <v/>
      </c>
    </row>
    <row r="503" customFormat="false" ht="15" hidden="false" customHeight="false" outlineLevel="0" collapsed="false">
      <c r="A503" s="11" t="str">
        <f aca="false">IF(B503="","",ROW()-3)</f>
        <v/>
      </c>
      <c r="B503" s="12"/>
      <c r="C503" s="13"/>
      <c r="D503" s="14"/>
      <c r="E503" s="11"/>
      <c r="F503" s="15"/>
      <c r="G503" s="14"/>
      <c r="H503" s="15"/>
      <c r="I503" s="15"/>
      <c r="J503" s="16"/>
      <c r="K503" s="12"/>
      <c r="L503" s="12"/>
      <c r="M503" s="16"/>
      <c r="N503" s="12"/>
      <c r="O503" s="17"/>
      <c r="P503" s="16"/>
      <c r="Q503" s="12"/>
      <c r="R503" s="15"/>
      <c r="S503" s="16" t="str">
        <f aca="false">IF(B503="","",IF(M503="Desestimada","Cerrado - desestimada",IF(AND(M503="Aplicada",OR(P503="Pagada",P503="Incluida en expensas")),"Cerrado - multa cobrada",IF(M503="Aplicada","Multa aplicada - impaga",IF(L503&lt;&gt;"","Descargo respondido - a resolver",IF(J503="Sí","Esperando respuesta descargo","Pendiente enviar descargo"))))))</f>
        <v/>
      </c>
      <c r="T503" s="18" t="str">
        <f aca="true">IF(B503="","",TODAY()-B503)</f>
        <v/>
      </c>
    </row>
  </sheetData>
  <autoFilter ref="A3:T503"/>
  <mergeCells count="3">
    <mergeCell ref="A2:I2"/>
    <mergeCell ref="J2:R2"/>
    <mergeCell ref="S2:T2"/>
  </mergeCells>
  <conditionalFormatting sqref="S4:S503">
    <cfRule type="expression" priority="2" aboveAverage="0" equalAverage="0" bottom="0" percent="0" rank="0" text="" dxfId="4">
      <formula>ISNUMBER(SEARCH("Pendiente enviar descargo",S4))</formula>
    </cfRule>
    <cfRule type="expression" priority="3" aboveAverage="0" equalAverage="0" bottom="0" percent="0" rank="0" text="" dxfId="5">
      <formula>ISNUMBER(SEARCH("Esperando respuesta",S4))</formula>
    </cfRule>
    <cfRule type="expression" priority="4" aboveAverage="0" equalAverage="0" bottom="0" percent="0" rank="0" text="" dxfId="5">
      <formula>ISNUMBER(SEARCH("a resolver",S4))</formula>
    </cfRule>
    <cfRule type="expression" priority="5" aboveAverage="0" equalAverage="0" bottom="0" percent="0" rank="0" text="" dxfId="6">
      <formula>ISNUMBER(SEARCH("impaga",S4))</formula>
    </cfRule>
    <cfRule type="expression" priority="6" aboveAverage="0" equalAverage="0" bottom="0" percent="0" rank="0" text="" dxfId="7">
      <formula>ISNUMBER(SEARCH("Cerrado",S4))</formula>
    </cfRule>
  </conditionalFormatting>
  <dataValidations count="12">
    <dataValidation allowBlank="true" error="Elegí un valor de la lista (hoja Listas)." errorStyle="stop" errorTitle="Valor no válido" operator="between" showDropDown="false" showErrorMessage="true" showInputMessage="false" sqref="D4:D503" type="list">
      <formula1>Listas!$A$3:$A$50</formula1>
      <formula2>0</formula2>
    </dataValidation>
    <dataValidation allowBlank="true" error="Elegí un valor de la lista (hoja Listas)." errorStyle="stop" errorTitle="Valor no válido" operator="between" showDropDown="false" showErrorMessage="true" showInputMessage="false" sqref="G4:G503" type="list">
      <formula1>Listas!$B$3:$B$50</formula1>
      <formula2>0</formula2>
    </dataValidation>
    <dataValidation allowBlank="true" error="Elegí un valor de la lista (hoja Listas)." errorStyle="stop" errorTitle="Valor no válido" operator="between" showDropDown="false" showErrorMessage="true" showInputMessage="false" sqref="H4:H503" type="list">
      <formula1>Listas!$C$3:$C$50</formula1>
      <formula2>0</formula2>
    </dataValidation>
    <dataValidation allowBlank="true" error="Elegí un valor de la lista (hoja Listas)." errorStyle="stop" errorTitle="Valor no válido" operator="between" showDropDown="false" showErrorMessage="true" showInputMessage="false" sqref="J4:J503" type="list">
      <formula1>Listas!$D$3:$D$4</formula1>
      <formula2>0</formula2>
    </dataValidation>
    <dataValidation allowBlank="true" error="Elegí un valor de la lista (hoja Listas)." errorStyle="stop" errorTitle="Valor no válido" operator="between" showDropDown="false" showErrorMessage="true" showInputMessage="false" sqref="M4:M503" type="list">
      <formula1>Listas!$E$3:$E$6</formula1>
      <formula2>0</formula2>
    </dataValidation>
    <dataValidation allowBlank="true" error="Elegí un valor de la lista (hoja Listas)." errorStyle="stop" errorTitle="Valor no válido" operator="between" showDropDown="false" showErrorMessage="true" showInputMessage="false" sqref="P4:P503" type="list">
      <formula1>Listas!$F$3:$F$5</formula1>
      <formula2>0</formula2>
    </dataValidation>
    <dataValidation allowBlank="true" error="Ingresá una fecha dd/mm/aaaa." errorStyle="stop" errorTitle="Fecha inválida" operator="greaterThan" showDropDown="false" showErrorMessage="true" showInputMessage="false" sqref="B4:B503" type="date">
      <formula1>DATE(2020,1,1)</formula1>
      <formula2>0</formula2>
    </dataValidation>
    <dataValidation allowBlank="true" error="Ingresá una fecha dd/mm/aaaa." errorStyle="stop" errorTitle="Fecha inválida" operator="greaterThan" showDropDown="false" showErrorMessage="true" showInputMessage="false" sqref="K4:K503" type="date">
      <formula1>DATE(2020,1,1)</formula1>
      <formula2>0</formula2>
    </dataValidation>
    <dataValidation allowBlank="true" error="Ingresá una fecha dd/mm/aaaa." errorStyle="stop" errorTitle="Fecha inválida" operator="greaterThan" showDropDown="false" showErrorMessage="true" showInputMessage="false" sqref="L4:L503" type="date">
      <formula1>DATE(2020,1,1)</formula1>
      <formula2>0</formula2>
    </dataValidation>
    <dataValidation allowBlank="true" error="Ingresá una fecha dd/mm/aaaa." errorStyle="stop" errorTitle="Fecha inválida" operator="greaterThan" showDropDown="false" showErrorMessage="true" showInputMessage="false" sqref="N4:N503" type="date">
      <formula1>DATE(2020,1,1)</formula1>
      <formula2>0</formula2>
    </dataValidation>
    <dataValidation allowBlank="true" error="Ingresá una fecha dd/mm/aaaa." errorStyle="stop" errorTitle="Fecha inválida" operator="greaterThan" showDropDown="false" showErrorMessage="true" showInputMessage="false" sqref="Q4:Q503" type="date">
      <formula1>DATE(2020,1,1)</formula1>
      <formula2>0</formula2>
    </dataValidation>
    <dataValidation allowBlank="true" error="Ingresá un importe numérico." errorStyle="stop" errorTitle="Importe inválido" operator="greaterThanOrEqual" showDropDown="false" showErrorMessage="true" showInputMessage="false" sqref="O4:O503"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6"/>
    <col collapsed="false" customWidth="true" hidden="false" outlineLevel="0" max="3" min="3" style="0" width="4"/>
    <col collapsed="false" customWidth="true" hidden="false" outlineLevel="0" max="4" min="4" style="0" width="30"/>
    <col collapsed="false" customWidth="true" hidden="false" outlineLevel="0" max="5" min="5" style="0" width="16"/>
  </cols>
  <sheetData>
    <row r="1" customFormat="false" ht="17.35" hidden="false" customHeight="false" outlineLevel="0" collapsed="false">
      <c r="A1" s="6" t="s">
        <v>44</v>
      </c>
    </row>
    <row r="2" customFormat="false" ht="15" hidden="false" customHeight="false" outlineLevel="0" collapsed="false">
      <c r="A2" s="19" t="s">
        <v>45</v>
      </c>
      <c r="B2" s="19" t="s">
        <v>46</v>
      </c>
      <c r="D2" s="20" t="s">
        <v>47</v>
      </c>
      <c r="E2" s="21" t="n">
        <v>92</v>
      </c>
    </row>
    <row r="3" customFormat="false" ht="15" hidden="false" customHeight="false" outlineLevel="0" collapsed="false">
      <c r="A3" s="22" t="s">
        <v>48</v>
      </c>
      <c r="B3" s="23" t="n">
        <f aca="false">COUNT('Registro de Multas'!$B$4:$B$503)</f>
        <v>1</v>
      </c>
      <c r="D3" s="22" t="s">
        <v>49</v>
      </c>
      <c r="E3" s="24" t="n">
        <f aca="false">COUNTIF('Registro de Multas'!$E$4:$E$503,$E$2)</f>
        <v>1</v>
      </c>
    </row>
    <row r="4" customFormat="false" ht="15" hidden="false" customHeight="false" outlineLevel="0" collapsed="false">
      <c r="A4" s="22" t="s">
        <v>50</v>
      </c>
      <c r="B4" s="23" t="n">
        <f aca="false">COUNTIF('Registro de Multas'!$S$4:$S$503,"Pendiente enviar descargo")</f>
        <v>1</v>
      </c>
      <c r="D4" s="22" t="s">
        <v>51</v>
      </c>
      <c r="E4" s="24" t="n">
        <f aca="false">COUNTIFS('Registro de Multas'!$E$4:$E$503,$E$2,'Registro de Multas'!$M$4:$M$503,"Aplicada")</f>
        <v>0</v>
      </c>
    </row>
    <row r="5" customFormat="false" ht="15" hidden="false" customHeight="false" outlineLevel="0" collapsed="false">
      <c r="A5" s="22" t="s">
        <v>52</v>
      </c>
      <c r="B5" s="23" t="n">
        <f aca="false">COUNTIF('Registro de Multas'!$S$4:$S$503,"Esperando respuesta descargo")</f>
        <v>0</v>
      </c>
      <c r="D5" s="22" t="s">
        <v>53</v>
      </c>
      <c r="E5" s="25" t="n">
        <f aca="false">SUMIFS('Registro de Multas'!$O$4:$O$503,'Registro de Multas'!$E$4:$E$503,$E$2,'Registro de Multas'!$M$4:$M$503,"Aplicada")</f>
        <v>0</v>
      </c>
    </row>
    <row r="6" customFormat="false" ht="15" hidden="false" customHeight="false" outlineLevel="0" collapsed="false">
      <c r="A6" s="22" t="s">
        <v>54</v>
      </c>
      <c r="B6" s="23" t="n">
        <f aca="false">COUNTIF('Registro de Multas'!$S$4:$S$503,"Descargo respondido - a resolver")</f>
        <v>0</v>
      </c>
      <c r="D6" s="22" t="s">
        <v>55</v>
      </c>
      <c r="E6" s="25" t="n">
        <f aca="false">SUMIFS('Registro de Multas'!$O$4:$O$503,'Registro de Multas'!$E$4:$E$503,$E$2,'Registro de Multas'!$M$4:$M$503,"Aplicada",'Registro de Multas'!$P$4:$P$503,"Pendiente")+SUMIFS('Registro de Multas'!$O$4:$O$503,'Registro de Multas'!$E$4:$E$503,$E$2,'Registro de Multas'!$M$4:$M$503,"Aplicada",'Registro de Multas'!$P$4:$P$503,"")</f>
        <v>0</v>
      </c>
    </row>
    <row r="7" customFormat="false" ht="15" hidden="false" customHeight="false" outlineLevel="0" collapsed="false">
      <c r="A7" s="22" t="s">
        <v>56</v>
      </c>
      <c r="B7" s="23" t="n">
        <f aca="false">COUNTIF('Registro de Multas'!$M$4:$M$503,"Aplicada")</f>
        <v>0</v>
      </c>
    </row>
    <row r="8" customFormat="false" ht="15" hidden="false" customHeight="false" outlineLevel="0" collapsed="false">
      <c r="A8" s="22" t="s">
        <v>57</v>
      </c>
      <c r="B8" s="23" t="n">
        <f aca="false">COUNTIF('Registro de Multas'!$M$4:$M$503,"Desestimada")</f>
        <v>0</v>
      </c>
    </row>
    <row r="9" customFormat="false" ht="15" hidden="false" customHeight="false" outlineLevel="0" collapsed="false">
      <c r="A9" s="22" t="s">
        <v>58</v>
      </c>
      <c r="B9" s="26" t="n">
        <f aca="false">SUMIF('Registro de Multas'!$M$4:$M$503,"Aplicada",'Registro de Multas'!$O$4:$O$503)</f>
        <v>0</v>
      </c>
    </row>
    <row r="10" customFormat="false" ht="15" hidden="false" customHeight="false" outlineLevel="0" collapsed="false">
      <c r="A10" s="22" t="s">
        <v>59</v>
      </c>
      <c r="B10" s="26" t="n">
        <f aca="false">SUMIFS('Registro de Multas'!$O$4:$O$503,'Registro de Multas'!$M$4:$M$503,"Aplicada",'Registro de Multas'!$P$4:$P$503,"Pagada")+SUMIFS('Registro de Multas'!$O$4:$O$503,'Registro de Multas'!$M$4:$M$503,"Aplicada",'Registro de Multas'!$P$4:$P$503,"Incluida en expensas")</f>
        <v>0</v>
      </c>
    </row>
    <row r="11" customFormat="false" ht="15" hidden="false" customHeight="false" outlineLevel="0" collapsed="false">
      <c r="A11" s="22" t="s">
        <v>60</v>
      </c>
      <c r="B11" s="26" t="n">
        <f aca="false">B9-B10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4"/>
    <col collapsed="false" customWidth="true" hidden="false" outlineLevel="0" max="3" min="3" style="0" width="34"/>
    <col collapsed="false" customWidth="true" hidden="false" outlineLevel="0" max="6" min="4" style="0" width="24"/>
  </cols>
  <sheetData>
    <row r="1" customFormat="false" ht="15" hidden="false" customHeight="false" outlineLevel="0" collapsed="false">
      <c r="A1" s="27" t="s">
        <v>61</v>
      </c>
    </row>
    <row r="2" customFormat="false" ht="15" hidden="false" customHeight="false" outlineLevel="0" collapsed="false">
      <c r="A2" s="19" t="s">
        <v>62</v>
      </c>
      <c r="B2" s="19" t="s">
        <v>24</v>
      </c>
      <c r="C2" s="19" t="s">
        <v>25</v>
      </c>
      <c r="D2" s="19" t="s">
        <v>63</v>
      </c>
      <c r="E2" s="19" t="s">
        <v>64</v>
      </c>
      <c r="F2" s="19" t="s">
        <v>33</v>
      </c>
    </row>
    <row r="3" customFormat="false" ht="15" hidden="false" customHeight="false" outlineLevel="0" collapsed="false">
      <c r="A3" s="28" t="s">
        <v>38</v>
      </c>
      <c r="B3" s="28" t="s">
        <v>65</v>
      </c>
      <c r="C3" s="28" t="s">
        <v>66</v>
      </c>
      <c r="D3" s="28" t="s">
        <v>67</v>
      </c>
      <c r="E3" s="28" t="s">
        <v>43</v>
      </c>
      <c r="F3" s="28" t="s">
        <v>43</v>
      </c>
    </row>
    <row r="4" customFormat="false" ht="15" hidden="false" customHeight="false" outlineLevel="0" collapsed="false">
      <c r="A4" s="28" t="s">
        <v>68</v>
      </c>
      <c r="B4" s="28" t="s">
        <v>40</v>
      </c>
      <c r="C4" s="28" t="s">
        <v>69</v>
      </c>
      <c r="D4" s="28" t="s">
        <v>70</v>
      </c>
      <c r="E4" s="28" t="s">
        <v>71</v>
      </c>
      <c r="F4" s="28" t="s">
        <v>72</v>
      </c>
    </row>
    <row r="5" customFormat="false" ht="15" hidden="false" customHeight="false" outlineLevel="0" collapsed="false">
      <c r="A5" s="28" t="s">
        <v>73</v>
      </c>
      <c r="B5" s="28" t="s">
        <v>74</v>
      </c>
      <c r="C5" s="28" t="s">
        <v>75</v>
      </c>
      <c r="E5" s="28" t="s">
        <v>76</v>
      </c>
      <c r="F5" s="28" t="s">
        <v>77</v>
      </c>
    </row>
    <row r="6" customFormat="false" ht="15" hidden="false" customHeight="false" outlineLevel="0" collapsed="false">
      <c r="A6" s="28" t="s">
        <v>78</v>
      </c>
      <c r="B6" s="28" t="s">
        <v>79</v>
      </c>
      <c r="C6" s="28" t="s">
        <v>41</v>
      </c>
      <c r="E6" s="28" t="s">
        <v>80</v>
      </c>
    </row>
    <row r="7" customFormat="false" ht="15" hidden="false" customHeight="false" outlineLevel="0" collapsed="false">
      <c r="B7" s="28" t="s">
        <v>81</v>
      </c>
      <c r="C7" s="28" t="s">
        <v>82</v>
      </c>
    </row>
    <row r="8" customFormat="false" ht="15" hidden="false" customHeight="false" outlineLevel="0" collapsed="false">
      <c r="B8" s="28" t="s">
        <v>83</v>
      </c>
      <c r="C8" s="28" t="s">
        <v>84</v>
      </c>
    </row>
    <row r="9" customFormat="false" ht="15" hidden="false" customHeight="false" outlineLevel="0" collapsed="false">
      <c r="C9" s="28" t="s">
        <v>85</v>
      </c>
    </row>
    <row r="10" customFormat="false" ht="15" hidden="false" customHeight="false" outlineLevel="0" collapsed="false">
      <c r="C10" s="28" t="s">
        <v>86</v>
      </c>
    </row>
    <row r="11" customFormat="false" ht="15" hidden="false" customHeight="false" outlineLevel="0" collapsed="false">
      <c r="C11" s="28" t="s">
        <v>87</v>
      </c>
    </row>
    <row r="12" customFormat="false" ht="15" hidden="false" customHeight="false" outlineLevel="0" collapsed="false">
      <c r="C12" s="28" t="s">
        <v>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2026-10-14T14:58:38Z</dcterms:created>
  <dc:creator>openpyxl</dc:creator>
  <dc:description/>
  <dc:language>en-US</dc:language>
  <cp:lastModifiedBy/>
  <dcterms:modified xsi:type="dcterms:W3CDTF">2026-10-14T14:58:39Z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